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charts/chartEx1.xml" ContentType="application/vnd.ms-office.chartex+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hidePivotFieldList="1" defaultThemeVersion="124226"/>
  <mc:AlternateContent xmlns:mc="http://schemas.openxmlformats.org/markup-compatibility/2006">
    <mc:Choice Requires="x15">
      <x15ac:absPath xmlns:x15ac="http://schemas.microsoft.com/office/spreadsheetml/2010/11/ac" url="C:\Users\jrp3i\Downloads\"/>
    </mc:Choice>
  </mc:AlternateContent>
  <xr:revisionPtr revIDLastSave="0" documentId="13_ncr:1_{1DFB5A38-679E-460F-A1F4-386A4166FA38}" xr6:coauthVersionLast="47" xr6:coauthVersionMax="47" xr10:uidLastSave="{00000000-0000-0000-0000-000000000000}"/>
  <bookViews>
    <workbookView xWindow="-108" yWindow="-108" windowWidth="23256" windowHeight="12456" xr2:uid="{00000000-000D-0000-FFFF-FFFF00000000}"/>
  </bookViews>
  <sheets>
    <sheet name="Dashboard" sheetId="5" r:id="rId1"/>
    <sheet name="Data" sheetId="1" r:id="rId2"/>
    <sheet name="PVT" sheetId="3" r:id="rId3"/>
  </sheets>
  <definedNames>
    <definedName name="_xlchart.v1.0" hidden="1">PVT!$Q$24:$Q$31</definedName>
    <definedName name="_xlchart.v1.1" hidden="1">PVT!$R$24:$R$31</definedName>
    <definedName name="_xlchart.v1.2" hidden="1">PVT!$Q$24:$Q$31</definedName>
    <definedName name="_xlchart.v1.3" hidden="1">PVT!$R$24:$R$31</definedName>
    <definedName name="_xleta.DATE" hidden="1" xlm="1">#NAME?</definedName>
    <definedName name="Slicer_Month">#N/A</definedName>
  </definedNames>
  <calcPr calcId="191029"/>
  <pivotCaches>
    <pivotCache cacheId="125" r:id="rId4"/>
  </pivotCaches>
  <extLst>
    <ext xmlns:x14="http://schemas.microsoft.com/office/spreadsheetml/2009/9/main" uri="{BBE1A952-AA13-448e-AADC-164F8A28A991}">
      <x14:slicerCaches>
        <x14:slicerCache r:id="rId5"/>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28" i="3" l="1"/>
  <c r="I29" i="3"/>
  <c r="I30" i="3"/>
  <c r="I32" i="3"/>
  <c r="I25" i="3"/>
  <c r="I33" i="3"/>
  <c r="I26" i="3"/>
  <c r="I34" i="3"/>
  <c r="I27" i="3"/>
  <c r="I35" i="3"/>
  <c r="I31" i="3"/>
  <c r="U24" i="3"/>
  <c r="U23" i="3"/>
  <c r="R28" i="3"/>
  <c r="R29" i="3"/>
  <c r="R30" i="3"/>
  <c r="R25" i="3"/>
  <c r="R26" i="3"/>
  <c r="R27" i="3"/>
  <c r="R31" i="3"/>
  <c r="R24" i="3"/>
  <c r="O28" i="3"/>
  <c r="O36" i="3"/>
  <c r="O37" i="3"/>
  <c r="O30" i="3"/>
  <c r="O38" i="3"/>
  <c r="O34" i="3"/>
  <c r="O35" i="3"/>
  <c r="O29" i="3"/>
  <c r="O31" i="3"/>
  <c r="O39" i="3"/>
  <c r="O32" i="3"/>
  <c r="O25" i="3"/>
  <c r="O33" i="3"/>
  <c r="O26" i="3"/>
  <c r="O27" i="3"/>
  <c r="O24" i="3"/>
  <c r="J27" i="3"/>
  <c r="J28" i="3"/>
  <c r="J29" i="3"/>
  <c r="J30" i="3"/>
  <c r="J33" i="3"/>
  <c r="J34" i="3"/>
  <c r="J31" i="3"/>
  <c r="J32" i="3"/>
  <c r="J25" i="3"/>
  <c r="J26" i="3"/>
  <c r="J35" i="3"/>
  <c r="J24" i="3"/>
  <c r="I24" i="3"/>
  <c r="B25" i="3"/>
  <c r="B26" i="3"/>
  <c r="B27" i="3"/>
  <c r="B28" i="3"/>
  <c r="B29" i="3"/>
  <c r="B30" i="3"/>
  <c r="B31" i="3"/>
  <c r="B24" i="3"/>
  <c r="I2" i="1"/>
  <c r="I3" i="1"/>
  <c r="I4" i="1"/>
  <c r="I5" i="1"/>
  <c r="I6" i="1"/>
  <c r="I7" i="1"/>
  <c r="I8" i="1"/>
  <c r="I9" i="1"/>
  <c r="I10" i="1"/>
  <c r="I11" i="1"/>
  <c r="I12" i="1"/>
  <c r="I13" i="1"/>
  <c r="I14" i="1"/>
  <c r="I15" i="1"/>
  <c r="I16" i="1"/>
  <c r="I17" i="1"/>
  <c r="I18" i="1"/>
  <c r="I19" i="1"/>
  <c r="I20"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I141" i="1"/>
  <c r="I142" i="1"/>
  <c r="I143" i="1"/>
  <c r="I144" i="1"/>
  <c r="I145" i="1"/>
  <c r="I146" i="1"/>
  <c r="I147" i="1"/>
  <c r="I148" i="1"/>
  <c r="I149" i="1"/>
  <c r="I150" i="1"/>
  <c r="I151" i="1"/>
  <c r="I152" i="1"/>
  <c r="I153" i="1"/>
  <c r="I154" i="1"/>
  <c r="I155" i="1"/>
  <c r="I156" i="1"/>
  <c r="I157" i="1"/>
  <c r="I158" i="1"/>
  <c r="I159" i="1"/>
  <c r="I160" i="1"/>
  <c r="I161" i="1"/>
  <c r="I162" i="1"/>
  <c r="I163" i="1"/>
  <c r="I164" i="1"/>
  <c r="I165" i="1"/>
  <c r="I166" i="1"/>
  <c r="I167" i="1"/>
  <c r="I168" i="1"/>
  <c r="I169" i="1"/>
  <c r="I170" i="1"/>
  <c r="I171" i="1"/>
  <c r="I172" i="1"/>
  <c r="I173" i="1"/>
  <c r="I174" i="1"/>
  <c r="I175" i="1"/>
  <c r="I176" i="1"/>
  <c r="I177" i="1"/>
  <c r="I178" i="1"/>
  <c r="I179" i="1"/>
  <c r="I180" i="1"/>
  <c r="I181" i="1"/>
  <c r="I182" i="1"/>
  <c r="I183" i="1"/>
  <c r="I184" i="1"/>
  <c r="I185" i="1"/>
  <c r="I186" i="1"/>
  <c r="I187" i="1"/>
  <c r="I188" i="1"/>
  <c r="I189" i="1"/>
  <c r="I190" i="1"/>
  <c r="I191" i="1"/>
  <c r="I192" i="1"/>
  <c r="I193" i="1"/>
  <c r="I194" i="1"/>
  <c r="I195" i="1"/>
  <c r="I196" i="1"/>
  <c r="I197" i="1"/>
  <c r="I198" i="1"/>
  <c r="I199" i="1"/>
  <c r="I200" i="1"/>
  <c r="I201" i="1"/>
  <c r="I202" i="1"/>
  <c r="I203" i="1"/>
  <c r="I204" i="1"/>
  <c r="I205" i="1"/>
  <c r="I206" i="1"/>
  <c r="I207" i="1"/>
  <c r="I208" i="1"/>
  <c r="I209" i="1"/>
  <c r="I210" i="1"/>
  <c r="I211" i="1"/>
  <c r="I212" i="1"/>
  <c r="I213" i="1"/>
  <c r="I214" i="1"/>
  <c r="I215" i="1"/>
  <c r="I216" i="1"/>
  <c r="I217" i="1"/>
  <c r="I218" i="1"/>
  <c r="I219" i="1"/>
  <c r="I220" i="1"/>
  <c r="I221" i="1"/>
  <c r="I222" i="1"/>
  <c r="I223" i="1"/>
  <c r="I224" i="1"/>
  <c r="I225" i="1"/>
  <c r="I226" i="1"/>
  <c r="I227" i="1"/>
  <c r="I228" i="1"/>
  <c r="I229" i="1"/>
  <c r="I230" i="1"/>
  <c r="I231" i="1"/>
  <c r="I232" i="1"/>
  <c r="I233" i="1"/>
  <c r="I234" i="1"/>
  <c r="I235" i="1"/>
  <c r="I236" i="1"/>
  <c r="I237" i="1"/>
  <c r="I238" i="1"/>
  <c r="I239" i="1"/>
  <c r="I240" i="1"/>
  <c r="I241" i="1"/>
  <c r="I242" i="1"/>
  <c r="I243" i="1"/>
  <c r="I244" i="1"/>
  <c r="I245" i="1"/>
  <c r="I246" i="1"/>
  <c r="I247" i="1"/>
  <c r="I248" i="1"/>
  <c r="I249" i="1"/>
  <c r="I250" i="1"/>
  <c r="I251" i="1"/>
  <c r="I252" i="1"/>
  <c r="I253" i="1"/>
  <c r="I254" i="1"/>
  <c r="I255" i="1"/>
  <c r="I256" i="1"/>
  <c r="I257" i="1"/>
  <c r="I258" i="1"/>
  <c r="I259" i="1"/>
  <c r="I260" i="1"/>
  <c r="I261" i="1"/>
  <c r="I262" i="1"/>
  <c r="I263" i="1"/>
  <c r="I264" i="1"/>
  <c r="I265" i="1"/>
  <c r="I266" i="1"/>
  <c r="I267" i="1"/>
  <c r="I268" i="1"/>
  <c r="I269" i="1"/>
  <c r="I270" i="1"/>
  <c r="I271" i="1"/>
  <c r="I272" i="1"/>
  <c r="I273" i="1"/>
  <c r="I274" i="1"/>
  <c r="I275" i="1"/>
  <c r="I276" i="1"/>
  <c r="I277" i="1"/>
  <c r="I278" i="1"/>
  <c r="I279" i="1"/>
  <c r="I280" i="1"/>
  <c r="I281" i="1"/>
  <c r="I282" i="1"/>
  <c r="I283" i="1"/>
  <c r="I284" i="1"/>
  <c r="I285" i="1"/>
  <c r="I286" i="1"/>
  <c r="I287" i="1"/>
  <c r="I288" i="1"/>
  <c r="I289" i="1"/>
  <c r="I290" i="1"/>
  <c r="I291" i="1"/>
  <c r="I292" i="1"/>
  <c r="I293" i="1"/>
  <c r="I294" i="1"/>
  <c r="I295" i="1"/>
  <c r="I296" i="1"/>
  <c r="I297" i="1"/>
  <c r="I298" i="1"/>
  <c r="I299" i="1"/>
  <c r="I300" i="1"/>
  <c r="I301" i="1"/>
  <c r="I302" i="1"/>
  <c r="I303" i="1"/>
  <c r="I304" i="1"/>
  <c r="I305" i="1"/>
  <c r="I306" i="1"/>
  <c r="I307" i="1"/>
  <c r="I308" i="1"/>
  <c r="I309" i="1"/>
  <c r="I310" i="1"/>
  <c r="I311" i="1"/>
  <c r="I312" i="1"/>
  <c r="I313" i="1"/>
  <c r="I314" i="1"/>
  <c r="I315" i="1"/>
  <c r="I316" i="1"/>
  <c r="I317" i="1"/>
  <c r="I318" i="1"/>
  <c r="I319" i="1"/>
  <c r="I320" i="1"/>
  <c r="I321" i="1"/>
  <c r="I322" i="1"/>
  <c r="I323" i="1"/>
  <c r="I324" i="1"/>
  <c r="I325" i="1"/>
  <c r="I326" i="1"/>
  <c r="I327" i="1"/>
  <c r="I328" i="1"/>
  <c r="I329" i="1"/>
  <c r="I330" i="1"/>
  <c r="I331" i="1"/>
  <c r="I332" i="1"/>
  <c r="I333" i="1"/>
  <c r="I334" i="1"/>
  <c r="I335" i="1"/>
  <c r="I336" i="1"/>
  <c r="I337" i="1"/>
  <c r="I338" i="1"/>
  <c r="I339" i="1"/>
  <c r="I340" i="1"/>
  <c r="I341" i="1"/>
  <c r="I342" i="1"/>
  <c r="I343" i="1"/>
  <c r="I344" i="1"/>
  <c r="I345" i="1"/>
  <c r="I346" i="1"/>
  <c r="I347" i="1"/>
  <c r="I348" i="1"/>
  <c r="I349" i="1"/>
  <c r="I350" i="1"/>
  <c r="I351" i="1"/>
  <c r="I352" i="1"/>
  <c r="I353" i="1"/>
  <c r="I354" i="1"/>
  <c r="I355" i="1"/>
  <c r="I356" i="1"/>
  <c r="I357" i="1"/>
  <c r="I358" i="1"/>
  <c r="I359" i="1"/>
  <c r="I360" i="1"/>
  <c r="I361" i="1"/>
  <c r="I362" i="1"/>
  <c r="I363" i="1"/>
  <c r="I364" i="1"/>
  <c r="I365" i="1"/>
  <c r="I366" i="1"/>
  <c r="I367" i="1"/>
  <c r="I368" i="1"/>
  <c r="I369" i="1"/>
  <c r="I370" i="1"/>
  <c r="I371" i="1"/>
  <c r="I372" i="1"/>
  <c r="I373" i="1"/>
  <c r="I374" i="1"/>
  <c r="I375" i="1"/>
  <c r="I376" i="1"/>
  <c r="I377" i="1"/>
  <c r="I378" i="1"/>
  <c r="I379" i="1"/>
  <c r="I380" i="1"/>
  <c r="I381" i="1"/>
  <c r="I382" i="1"/>
  <c r="I383" i="1"/>
  <c r="I384" i="1"/>
  <c r="I385" i="1"/>
  <c r="I386" i="1"/>
  <c r="I387" i="1"/>
  <c r="I388" i="1"/>
  <c r="I389" i="1"/>
  <c r="I390" i="1"/>
  <c r="I391" i="1"/>
  <c r="I392" i="1"/>
  <c r="I393" i="1"/>
  <c r="I394" i="1"/>
  <c r="I395" i="1"/>
  <c r="I396" i="1"/>
  <c r="I397" i="1"/>
  <c r="I398" i="1"/>
  <c r="I399" i="1"/>
  <c r="I400" i="1"/>
  <c r="I401" i="1"/>
  <c r="I402" i="1"/>
  <c r="I403" i="1"/>
  <c r="I404" i="1"/>
  <c r="I405" i="1"/>
  <c r="I406" i="1"/>
  <c r="I407" i="1"/>
  <c r="I408" i="1"/>
  <c r="I409" i="1"/>
  <c r="I410" i="1"/>
  <c r="I411" i="1"/>
  <c r="I412" i="1"/>
  <c r="I413" i="1"/>
  <c r="I414" i="1"/>
  <c r="I415" i="1"/>
  <c r="I416" i="1"/>
  <c r="I417" i="1"/>
  <c r="I418" i="1"/>
  <c r="I419" i="1"/>
  <c r="I420" i="1"/>
  <c r="I421" i="1"/>
  <c r="I422" i="1"/>
  <c r="I423" i="1"/>
  <c r="I424" i="1"/>
  <c r="I425" i="1"/>
  <c r="I426" i="1"/>
  <c r="I427" i="1"/>
  <c r="I428" i="1"/>
  <c r="I429" i="1"/>
  <c r="I430" i="1"/>
  <c r="I431" i="1"/>
  <c r="I432" i="1"/>
  <c r="I433" i="1"/>
  <c r="I434" i="1"/>
  <c r="I435" i="1"/>
  <c r="I436" i="1"/>
  <c r="I437" i="1"/>
  <c r="I438" i="1"/>
  <c r="I439" i="1"/>
  <c r="I440" i="1"/>
  <c r="I441" i="1"/>
  <c r="I442" i="1"/>
  <c r="I443" i="1"/>
  <c r="I444" i="1"/>
  <c r="I445" i="1"/>
  <c r="I446" i="1"/>
  <c r="I447" i="1"/>
  <c r="I448" i="1"/>
  <c r="I449" i="1"/>
  <c r="I450" i="1"/>
  <c r="I451" i="1"/>
  <c r="I452" i="1"/>
  <c r="I453" i="1"/>
  <c r="I454" i="1"/>
  <c r="I455" i="1"/>
  <c r="I456" i="1"/>
  <c r="I457" i="1"/>
  <c r="I458" i="1"/>
  <c r="I459" i="1"/>
  <c r="I460" i="1"/>
  <c r="I461" i="1"/>
  <c r="I462" i="1"/>
  <c r="I463" i="1"/>
  <c r="I464" i="1"/>
  <c r="I465" i="1"/>
  <c r="I466" i="1"/>
  <c r="I467" i="1"/>
  <c r="I468" i="1"/>
  <c r="I469" i="1"/>
  <c r="I470" i="1"/>
  <c r="I471" i="1"/>
  <c r="I472" i="1"/>
  <c r="I473" i="1"/>
  <c r="I474" i="1"/>
  <c r="I475" i="1"/>
  <c r="I476" i="1"/>
  <c r="I477" i="1"/>
  <c r="I478" i="1"/>
  <c r="I479" i="1"/>
  <c r="I480" i="1"/>
  <c r="I481" i="1"/>
  <c r="I482" i="1"/>
  <c r="I483" i="1"/>
  <c r="I484" i="1"/>
  <c r="I485" i="1"/>
  <c r="I486" i="1"/>
  <c r="I487" i="1"/>
  <c r="I488" i="1"/>
  <c r="I489" i="1"/>
  <c r="I490" i="1"/>
  <c r="I491" i="1"/>
  <c r="I492" i="1"/>
  <c r="I493" i="1"/>
  <c r="I494" i="1"/>
  <c r="I495" i="1"/>
  <c r="I496" i="1"/>
  <c r="I497" i="1"/>
  <c r="I498" i="1"/>
  <c r="I499" i="1"/>
  <c r="I500" i="1"/>
  <c r="I501" i="1"/>
  <c r="I502" i="1"/>
  <c r="I503" i="1"/>
  <c r="I504" i="1"/>
  <c r="I505" i="1"/>
  <c r="I506" i="1"/>
  <c r="I507" i="1"/>
  <c r="I508" i="1"/>
  <c r="I509" i="1"/>
  <c r="I510" i="1"/>
  <c r="I511" i="1"/>
  <c r="I512" i="1"/>
  <c r="I513" i="1"/>
  <c r="I514" i="1"/>
  <c r="I515" i="1"/>
  <c r="I516" i="1"/>
  <c r="I517" i="1"/>
  <c r="I518" i="1"/>
  <c r="I519" i="1"/>
  <c r="I520" i="1"/>
  <c r="I521" i="1"/>
  <c r="I522" i="1"/>
  <c r="I523" i="1"/>
  <c r="I524" i="1"/>
  <c r="I525" i="1"/>
  <c r="I526" i="1"/>
  <c r="I527" i="1"/>
  <c r="I528" i="1"/>
  <c r="I529" i="1"/>
  <c r="I530" i="1"/>
  <c r="I531" i="1"/>
  <c r="I532" i="1"/>
  <c r="I533" i="1"/>
  <c r="I534" i="1"/>
  <c r="I535" i="1"/>
  <c r="I536" i="1"/>
  <c r="I537" i="1"/>
  <c r="I538" i="1"/>
  <c r="I539" i="1"/>
  <c r="I540" i="1"/>
  <c r="I541" i="1"/>
  <c r="I542" i="1"/>
  <c r="I543" i="1"/>
  <c r="I544" i="1"/>
  <c r="I545" i="1"/>
  <c r="I546" i="1"/>
  <c r="I547" i="1"/>
  <c r="I548" i="1"/>
  <c r="I549" i="1"/>
  <c r="I550" i="1"/>
  <c r="I551" i="1"/>
  <c r="I552" i="1"/>
  <c r="I553" i="1"/>
  <c r="I554" i="1"/>
  <c r="I555" i="1"/>
  <c r="I556" i="1"/>
  <c r="I557" i="1"/>
  <c r="I558" i="1"/>
  <c r="I559" i="1"/>
  <c r="I560" i="1"/>
  <c r="I561" i="1"/>
  <c r="I562" i="1"/>
  <c r="I563" i="1"/>
  <c r="I564" i="1"/>
  <c r="I565" i="1"/>
  <c r="I566" i="1"/>
  <c r="I567" i="1"/>
  <c r="I568" i="1"/>
  <c r="I569" i="1"/>
  <c r="I570" i="1"/>
  <c r="I571" i="1"/>
  <c r="I572" i="1"/>
  <c r="I573" i="1"/>
  <c r="I574" i="1"/>
  <c r="I575" i="1"/>
  <c r="I576" i="1"/>
  <c r="I577" i="1"/>
  <c r="I578" i="1"/>
  <c r="I579" i="1"/>
  <c r="I580" i="1"/>
  <c r="I581" i="1"/>
  <c r="I582" i="1"/>
  <c r="I583" i="1"/>
  <c r="I584" i="1"/>
  <c r="I585" i="1"/>
  <c r="I586" i="1"/>
  <c r="I587" i="1"/>
  <c r="I588" i="1"/>
  <c r="I589" i="1"/>
  <c r="I590" i="1"/>
  <c r="I591" i="1"/>
  <c r="I592" i="1"/>
  <c r="I593" i="1"/>
  <c r="I594" i="1"/>
  <c r="I595" i="1"/>
  <c r="I596" i="1"/>
  <c r="I597" i="1"/>
  <c r="I598" i="1"/>
  <c r="I599" i="1"/>
  <c r="I600" i="1"/>
  <c r="I601" i="1"/>
  <c r="I602" i="1"/>
  <c r="I603" i="1"/>
  <c r="I604" i="1"/>
  <c r="I605" i="1"/>
  <c r="I606" i="1"/>
  <c r="I607" i="1"/>
  <c r="I608" i="1"/>
  <c r="I609" i="1"/>
  <c r="I610" i="1"/>
  <c r="I611" i="1"/>
  <c r="I612" i="1"/>
  <c r="I613" i="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2" i="1"/>
  <c r="C25" i="3"/>
  <c r="C26" i="3"/>
  <c r="C27" i="3"/>
  <c r="C28" i="3"/>
  <c r="C29" i="3"/>
  <c r="C30" i="3"/>
  <c r="C31" i="3"/>
  <c r="C24" i="3"/>
  <c r="F23" i="3"/>
</calcChain>
</file>

<file path=xl/sharedStrings.xml><?xml version="1.0" encoding="utf-8"?>
<sst xmlns="http://schemas.openxmlformats.org/spreadsheetml/2006/main" count="3207" uniqueCount="352">
  <si>
    <t>Category</t>
  </si>
  <si>
    <t>Subcategory</t>
  </si>
  <si>
    <t>Date</t>
  </si>
  <si>
    <t>Debit</t>
  </si>
  <si>
    <t>Account Type</t>
  </si>
  <si>
    <t>Credit</t>
  </si>
  <si>
    <t>Healthcare</t>
  </si>
  <si>
    <t>Debt Payments</t>
  </si>
  <si>
    <t>Transportation</t>
  </si>
  <si>
    <t>Education</t>
  </si>
  <si>
    <t>Savings &amp; Investments</t>
  </si>
  <si>
    <t>Housing</t>
  </si>
  <si>
    <t>Food</t>
  </si>
  <si>
    <t>Income</t>
  </si>
  <si>
    <t>Health Insurance</t>
  </si>
  <si>
    <t>Student Loans</t>
  </si>
  <si>
    <t>Public Transport</t>
  </si>
  <si>
    <t>Books &amp; Materials</t>
  </si>
  <si>
    <t>Medical Expenses</t>
  </si>
  <si>
    <t>Retirement Savings</t>
  </si>
  <si>
    <t>Rent/Mortgage</t>
  </si>
  <si>
    <t>Tuition Fees</t>
  </si>
  <si>
    <t>Emergency Fund</t>
  </si>
  <si>
    <t>Credit Card Payments</t>
  </si>
  <si>
    <t>Groceries</t>
  </si>
  <si>
    <t>Utilities</t>
  </si>
  <si>
    <t>Car Loan/Lease</t>
  </si>
  <si>
    <t>Home Maintenance</t>
  </si>
  <si>
    <t>Gas &amp; Fuel</t>
  </si>
  <si>
    <t>Dining Out</t>
  </si>
  <si>
    <t>Monthly Salary</t>
  </si>
  <si>
    <t>2024-01-02</t>
  </si>
  <si>
    <t>2024-01-04</t>
  </si>
  <si>
    <t>2024-01-05</t>
  </si>
  <si>
    <t>2024-01-06</t>
  </si>
  <si>
    <t>2024-01-07</t>
  </si>
  <si>
    <t>2024-01-08</t>
  </si>
  <si>
    <t>2024-01-09</t>
  </si>
  <si>
    <t>2024-01-10</t>
  </si>
  <si>
    <t>2024-01-11</t>
  </si>
  <si>
    <t>2024-01-12</t>
  </si>
  <si>
    <t>2024-01-14</t>
  </si>
  <si>
    <t>2024-01-15</t>
  </si>
  <si>
    <t>2024-01-18</t>
  </si>
  <si>
    <t>2024-01-19</t>
  </si>
  <si>
    <t>2024-01-20</t>
  </si>
  <si>
    <t>2024-01-21</t>
  </si>
  <si>
    <t>2024-01-22</t>
  </si>
  <si>
    <t>2024-01-23</t>
  </si>
  <si>
    <t>2024-01-24</t>
  </si>
  <si>
    <t>2024-01-25</t>
  </si>
  <si>
    <t>2024-01-26</t>
  </si>
  <si>
    <t>2024-01-27</t>
  </si>
  <si>
    <t>2024-01-28</t>
  </si>
  <si>
    <t>2024-02-01</t>
  </si>
  <si>
    <t>2024-02-02</t>
  </si>
  <si>
    <t>2024-02-03</t>
  </si>
  <si>
    <t>2024-02-04</t>
  </si>
  <si>
    <t>2024-02-05</t>
  </si>
  <si>
    <t>2024-02-06</t>
  </si>
  <si>
    <t>2024-02-07</t>
  </si>
  <si>
    <t>2024-02-08</t>
  </si>
  <si>
    <t>2024-02-09</t>
  </si>
  <si>
    <t>2024-02-10</t>
  </si>
  <si>
    <t>2024-02-11</t>
  </si>
  <si>
    <t>2024-02-12</t>
  </si>
  <si>
    <t>2024-02-13</t>
  </si>
  <si>
    <t>2024-02-14</t>
  </si>
  <si>
    <t>2024-02-15</t>
  </si>
  <si>
    <t>2024-02-16</t>
  </si>
  <si>
    <t>2024-02-18</t>
  </si>
  <si>
    <t>2024-02-19</t>
  </si>
  <si>
    <t>2024-02-20</t>
  </si>
  <si>
    <t>2024-02-21</t>
  </si>
  <si>
    <t>2024-02-22</t>
  </si>
  <si>
    <t>2024-02-23</t>
  </si>
  <si>
    <t>2024-02-24</t>
  </si>
  <si>
    <t>2024-02-25</t>
  </si>
  <si>
    <t>2024-02-26</t>
  </si>
  <si>
    <t>2024-02-27</t>
  </si>
  <si>
    <t>2024-02-28</t>
  </si>
  <si>
    <t>2024-03-01</t>
  </si>
  <si>
    <t>2024-03-03</t>
  </si>
  <si>
    <t>2024-03-05</t>
  </si>
  <si>
    <t>2024-03-06</t>
  </si>
  <si>
    <t>2024-03-07</t>
  </si>
  <si>
    <t>2024-03-08</t>
  </si>
  <si>
    <t>2024-03-09</t>
  </si>
  <si>
    <t>2024-03-10</t>
  </si>
  <si>
    <t>2024-03-11</t>
  </si>
  <si>
    <t>2024-03-12</t>
  </si>
  <si>
    <t>2024-03-13</t>
  </si>
  <si>
    <t>2024-03-14</t>
  </si>
  <si>
    <t>2024-03-15</t>
  </si>
  <si>
    <t>2024-03-16</t>
  </si>
  <si>
    <t>2024-03-17</t>
  </si>
  <si>
    <t>2024-03-18</t>
  </si>
  <si>
    <t>2024-03-19</t>
  </si>
  <si>
    <t>2024-03-20</t>
  </si>
  <si>
    <t>2024-03-21</t>
  </si>
  <si>
    <t>2024-03-22</t>
  </si>
  <si>
    <t>2024-03-23</t>
  </si>
  <si>
    <t>2024-03-24</t>
  </si>
  <si>
    <t>2024-03-25</t>
  </si>
  <si>
    <t>2024-03-26</t>
  </si>
  <si>
    <t>2024-03-27</t>
  </si>
  <si>
    <t>2024-03-28</t>
  </si>
  <si>
    <t>2024-04-02</t>
  </si>
  <si>
    <t>2024-04-03</t>
  </si>
  <si>
    <t>2024-04-05</t>
  </si>
  <si>
    <t>2024-04-06</t>
  </si>
  <si>
    <t>2024-04-07</t>
  </si>
  <si>
    <t>2024-04-08</t>
  </si>
  <si>
    <t>2024-04-09</t>
  </si>
  <si>
    <t>2024-04-10</t>
  </si>
  <si>
    <t>2024-04-11</t>
  </si>
  <si>
    <t>2024-04-13</t>
  </si>
  <si>
    <t>2024-04-14</t>
  </si>
  <si>
    <t>2024-04-15</t>
  </si>
  <si>
    <t>2024-04-16</t>
  </si>
  <si>
    <t>2024-04-18</t>
  </si>
  <si>
    <t>2024-04-19</t>
  </si>
  <si>
    <t>2024-04-20</t>
  </si>
  <si>
    <t>2024-04-21</t>
  </si>
  <si>
    <t>2024-04-22</t>
  </si>
  <si>
    <t>2024-04-23</t>
  </si>
  <si>
    <t>2024-04-26</t>
  </si>
  <si>
    <t>2024-04-27</t>
  </si>
  <si>
    <t>2024-04-28</t>
  </si>
  <si>
    <t>2024-05-01</t>
  </si>
  <si>
    <t>2024-05-02</t>
  </si>
  <si>
    <t>2024-05-04</t>
  </si>
  <si>
    <t>2024-05-05</t>
  </si>
  <si>
    <t>2024-05-08</t>
  </si>
  <si>
    <t>2024-05-09</t>
  </si>
  <si>
    <t>2024-05-10</t>
  </si>
  <si>
    <t>2024-05-11</t>
  </si>
  <si>
    <t>2024-05-12</t>
  </si>
  <si>
    <t>2024-05-13</t>
  </si>
  <si>
    <t>2024-05-14</t>
  </si>
  <si>
    <t>2024-05-15</t>
  </si>
  <si>
    <t>2024-05-16</t>
  </si>
  <si>
    <t>2024-05-17</t>
  </si>
  <si>
    <t>2024-05-18</t>
  </si>
  <si>
    <t>2024-05-20</t>
  </si>
  <si>
    <t>2024-05-21</t>
  </si>
  <si>
    <t>2024-05-22</t>
  </si>
  <si>
    <t>2024-05-23</t>
  </si>
  <si>
    <t>2024-05-24</t>
  </si>
  <si>
    <t>2024-05-25</t>
  </si>
  <si>
    <t>2024-05-26</t>
  </si>
  <si>
    <t>2024-05-27</t>
  </si>
  <si>
    <t>2024-05-28</t>
  </si>
  <si>
    <t>2024-06-01</t>
  </si>
  <si>
    <t>2024-06-02</t>
  </si>
  <si>
    <t>2024-06-03</t>
  </si>
  <si>
    <t>2024-06-04</t>
  </si>
  <si>
    <t>2024-06-05</t>
  </si>
  <si>
    <t>2024-06-06</t>
  </si>
  <si>
    <t>2024-06-07</t>
  </si>
  <si>
    <t>2024-06-08</t>
  </si>
  <si>
    <t>2024-06-09</t>
  </si>
  <si>
    <t>2024-06-10</t>
  </si>
  <si>
    <t>2024-06-11</t>
  </si>
  <si>
    <t>2024-06-12</t>
  </si>
  <si>
    <t>2024-06-13</t>
  </si>
  <si>
    <t>2024-06-14</t>
  </si>
  <si>
    <t>2024-06-15</t>
  </si>
  <si>
    <t>2024-06-16</t>
  </si>
  <si>
    <t>2024-06-17</t>
  </si>
  <si>
    <t>2024-06-19</t>
  </si>
  <si>
    <t>2024-06-20</t>
  </si>
  <si>
    <t>2024-06-21</t>
  </si>
  <si>
    <t>2024-06-22</t>
  </si>
  <si>
    <t>2024-06-24</t>
  </si>
  <si>
    <t>2024-06-25</t>
  </si>
  <si>
    <t>2024-06-26</t>
  </si>
  <si>
    <t>2024-06-28</t>
  </si>
  <si>
    <t>2024-07-01</t>
  </si>
  <si>
    <t>2024-07-03</t>
  </si>
  <si>
    <t>2024-07-04</t>
  </si>
  <si>
    <t>2024-07-05</t>
  </si>
  <si>
    <t>2024-07-06</t>
  </si>
  <si>
    <t>2024-07-07</t>
  </si>
  <si>
    <t>2024-07-08</t>
  </si>
  <si>
    <t>2024-07-09</t>
  </si>
  <si>
    <t>2024-07-10</t>
  </si>
  <si>
    <t>2024-07-11</t>
  </si>
  <si>
    <t>2024-07-13</t>
  </si>
  <si>
    <t>2024-07-14</t>
  </si>
  <si>
    <t>2024-07-15</t>
  </si>
  <si>
    <t>2024-07-16</t>
  </si>
  <si>
    <t>2024-07-17</t>
  </si>
  <si>
    <t>2024-07-18</t>
  </si>
  <si>
    <t>2024-07-19</t>
  </si>
  <si>
    <t>2024-07-20</t>
  </si>
  <si>
    <t>2024-07-21</t>
  </si>
  <si>
    <t>2024-07-23</t>
  </si>
  <si>
    <t>2024-07-24</t>
  </si>
  <si>
    <t>2024-07-25</t>
  </si>
  <si>
    <t>2024-07-27</t>
  </si>
  <si>
    <t>2024-07-28</t>
  </si>
  <si>
    <t>2024-08-01</t>
  </si>
  <si>
    <t>2024-08-02</t>
  </si>
  <si>
    <t>2024-08-03</t>
  </si>
  <si>
    <t>2024-08-04</t>
  </si>
  <si>
    <t>2024-08-06</t>
  </si>
  <si>
    <t>2024-08-07</t>
  </si>
  <si>
    <t>2024-08-08</t>
  </si>
  <si>
    <t>2024-08-10</t>
  </si>
  <si>
    <t>2024-08-11</t>
  </si>
  <si>
    <t>2024-08-12</t>
  </si>
  <si>
    <t>2024-08-13</t>
  </si>
  <si>
    <t>2024-08-14</t>
  </si>
  <si>
    <t>2024-08-15</t>
  </si>
  <si>
    <t>2024-08-16</t>
  </si>
  <si>
    <t>2024-08-17</t>
  </si>
  <si>
    <t>2024-08-18</t>
  </si>
  <si>
    <t>2024-08-19</t>
  </si>
  <si>
    <t>2024-08-21</t>
  </si>
  <si>
    <t>2024-08-22</t>
  </si>
  <si>
    <t>2024-08-25</t>
  </si>
  <si>
    <t>2024-08-27</t>
  </si>
  <si>
    <t>2024-08-28</t>
  </si>
  <si>
    <t>2024-09-01</t>
  </si>
  <si>
    <t>2024-09-02</t>
  </si>
  <si>
    <t>2024-09-03</t>
  </si>
  <si>
    <t>2024-09-04</t>
  </si>
  <si>
    <t>2024-09-06</t>
  </si>
  <si>
    <t>2024-09-07</t>
  </si>
  <si>
    <t>2024-09-08</t>
  </si>
  <si>
    <t>2024-09-09</t>
  </si>
  <si>
    <t>2024-09-10</t>
  </si>
  <si>
    <t>2024-09-11</t>
  </si>
  <si>
    <t>2024-09-12</t>
  </si>
  <si>
    <t>2024-09-13</t>
  </si>
  <si>
    <t>2024-09-14</t>
  </si>
  <si>
    <t>2024-09-15</t>
  </si>
  <si>
    <t>2024-09-16</t>
  </si>
  <si>
    <t>2024-09-19</t>
  </si>
  <si>
    <t>2024-09-21</t>
  </si>
  <si>
    <t>2024-09-22</t>
  </si>
  <si>
    <t>2024-09-24</t>
  </si>
  <si>
    <t>2024-09-26</t>
  </si>
  <si>
    <t>2024-09-27</t>
  </si>
  <si>
    <t>2024-09-28</t>
  </si>
  <si>
    <t>2024-10-01</t>
  </si>
  <si>
    <t>2024-10-02</t>
  </si>
  <si>
    <t>2024-10-03</t>
  </si>
  <si>
    <t>2024-10-04</t>
  </si>
  <si>
    <t>2024-10-05</t>
  </si>
  <si>
    <t>2024-10-06</t>
  </si>
  <si>
    <t>2024-10-07</t>
  </si>
  <si>
    <t>2024-10-08</t>
  </si>
  <si>
    <t>2024-10-09</t>
  </si>
  <si>
    <t>2024-10-10</t>
  </si>
  <si>
    <t>2024-10-11</t>
  </si>
  <si>
    <t>2024-10-12</t>
  </si>
  <si>
    <t>2024-10-13</t>
  </si>
  <si>
    <t>2024-10-14</t>
  </si>
  <si>
    <t>2024-10-15</t>
  </si>
  <si>
    <t>2024-10-16</t>
  </si>
  <si>
    <t>2024-10-17</t>
  </si>
  <si>
    <t>2024-10-19</t>
  </si>
  <si>
    <t>2024-10-20</t>
  </si>
  <si>
    <t>2024-10-22</t>
  </si>
  <si>
    <t>2024-10-23</t>
  </si>
  <si>
    <t>2024-10-24</t>
  </si>
  <si>
    <t>2024-10-25</t>
  </si>
  <si>
    <t>2024-10-26</t>
  </si>
  <si>
    <t>2024-10-27</t>
  </si>
  <si>
    <t>2024-10-28</t>
  </si>
  <si>
    <t>2024-11-02</t>
  </si>
  <si>
    <t>2024-11-03</t>
  </si>
  <si>
    <t>2024-11-05</t>
  </si>
  <si>
    <t>2024-11-06</t>
  </si>
  <si>
    <t>2024-11-07</t>
  </si>
  <si>
    <t>2024-11-08</t>
  </si>
  <si>
    <t>2024-11-09</t>
  </si>
  <si>
    <t>2024-11-10</t>
  </si>
  <si>
    <t>2024-11-11</t>
  </si>
  <si>
    <t>2024-11-12</t>
  </si>
  <si>
    <t>2024-11-13</t>
  </si>
  <si>
    <t>2024-11-14</t>
  </si>
  <si>
    <t>2024-11-15</t>
  </si>
  <si>
    <t>2024-11-16</t>
  </si>
  <si>
    <t>2024-11-17</t>
  </si>
  <si>
    <t>2024-11-18</t>
  </si>
  <si>
    <t>2024-11-19</t>
  </si>
  <si>
    <t>2024-11-20</t>
  </si>
  <si>
    <t>2024-11-21</t>
  </si>
  <si>
    <t>2024-11-22</t>
  </si>
  <si>
    <t>2024-11-25</t>
  </si>
  <si>
    <t>2024-11-27</t>
  </si>
  <si>
    <t>2024-11-28</t>
  </si>
  <si>
    <t>2024-12-02</t>
  </si>
  <si>
    <t>2024-12-03</t>
  </si>
  <si>
    <t>2024-12-04</t>
  </si>
  <si>
    <t>2024-12-05</t>
  </si>
  <si>
    <t>2024-12-06</t>
  </si>
  <si>
    <t>2024-12-07</t>
  </si>
  <si>
    <t>2024-12-08</t>
  </si>
  <si>
    <t>2024-12-09</t>
  </si>
  <si>
    <t>2024-12-10</t>
  </si>
  <si>
    <t>2024-12-11</t>
  </si>
  <si>
    <t>2024-12-12</t>
  </si>
  <si>
    <t>2024-12-13</t>
  </si>
  <si>
    <t>2024-12-14</t>
  </si>
  <si>
    <t>2024-12-15</t>
  </si>
  <si>
    <t>2024-12-16</t>
  </si>
  <si>
    <t>2024-12-17</t>
  </si>
  <si>
    <t>2024-12-18</t>
  </si>
  <si>
    <t>2024-12-20</t>
  </si>
  <si>
    <t>2024-12-21</t>
  </si>
  <si>
    <t>2024-12-22</t>
  </si>
  <si>
    <t>2024-12-23</t>
  </si>
  <si>
    <t>2024-12-25</t>
  </si>
  <si>
    <t>2024-12-26</t>
  </si>
  <si>
    <t>2024-12-27</t>
  </si>
  <si>
    <t>2024-12-28</t>
  </si>
  <si>
    <t>Checking Account</t>
  </si>
  <si>
    <t>Credit Card</t>
  </si>
  <si>
    <t>Cash</t>
  </si>
  <si>
    <t>Category Type</t>
  </si>
  <si>
    <t>Expense</t>
  </si>
  <si>
    <t>Amount</t>
  </si>
  <si>
    <t>Month</t>
  </si>
  <si>
    <t>Sum of Debit</t>
  </si>
  <si>
    <t>Grand Total</t>
  </si>
  <si>
    <t>Sum of Amount</t>
  </si>
  <si>
    <t>Jan</t>
  </si>
  <si>
    <t>Feb</t>
  </si>
  <si>
    <t>Mar</t>
  </si>
  <si>
    <t>Apr</t>
  </si>
  <si>
    <t>May</t>
  </si>
  <si>
    <t>Jun</t>
  </si>
  <si>
    <t>Jul</t>
  </si>
  <si>
    <t>Aug</t>
  </si>
  <si>
    <t>Sep</t>
  </si>
  <si>
    <t>Oct</t>
  </si>
  <si>
    <t>Nov</t>
  </si>
  <si>
    <t>Dec</t>
  </si>
  <si>
    <t>Key Matrics</t>
  </si>
  <si>
    <t>Row Columns</t>
  </si>
  <si>
    <t>Total Spend by Accounts</t>
  </si>
  <si>
    <t>Monthly Expenses vs Net Income</t>
  </si>
  <si>
    <t>Sum of Credit</t>
  </si>
  <si>
    <t>Expenses</t>
  </si>
  <si>
    <t>Salary</t>
  </si>
  <si>
    <t>All Expenses</t>
  </si>
  <si>
    <t>Expenses by Category</t>
  </si>
  <si>
    <t>Total Income vs Expenses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</si>
</sst>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8" formatCode="_(&quot;$&quot;* #,##0_);_(&quot;$&quot;* \(#,##0\);_(&quot;$&quot;* &quot;-&quot;??_);_(@_)"/>
    <numFmt numFmtId="171" formatCode="0.0,&quot;k&quot;"/>
    <numFmt numFmtId="172" formatCode="0,&quot;k&quot;"/>
    <numFmt numFmtId="173" formatCode="&quot;$&quot;#,##0"/>
  </numFmts>
  <fonts count="5" x14ac:knownFonts="1">
    <font>
      <sz val="11"/>
      <color theme="1"/>
      <name val="Calibri"/>
      <family val="2"/>
      <scheme val="minor"/>
    </font>
    <font>
      <b/>
      <sz val="11"/>
      <color theme="1"/>
      <name val="Calibri"/>
      <family val="2"/>
      <scheme val="minor"/>
    </font>
    <font>
      <sz val="11"/>
      <color theme="1"/>
      <name val="Calibri"/>
      <family val="2"/>
      <scheme val="minor"/>
    </font>
    <font>
      <b/>
      <sz val="12"/>
      <name val="Calibri"/>
      <family val="2"/>
      <scheme val="minor"/>
    </font>
    <font>
      <b/>
      <sz val="12"/>
      <color theme="1"/>
      <name val="Calibri"/>
      <family val="2"/>
      <scheme val="minor"/>
    </font>
  </fonts>
  <fills count="6">
    <fill>
      <patternFill patternType="none"/>
    </fill>
    <fill>
      <patternFill patternType="gray125"/>
    </fill>
    <fill>
      <patternFill patternType="solid">
        <fgColor theme="4" tint="0.79998168889431442"/>
        <bgColor theme="4" tint="0.79998168889431442"/>
      </patternFill>
    </fill>
    <fill>
      <patternFill patternType="solid">
        <fgColor theme="0"/>
        <bgColor indexed="64"/>
      </patternFill>
    </fill>
    <fill>
      <patternFill patternType="solid">
        <fgColor rgb="FF00B050"/>
        <bgColor indexed="64"/>
      </patternFill>
    </fill>
    <fill>
      <patternFill patternType="solid">
        <fgColor rgb="FFFFFF00"/>
        <bgColor indexed="64"/>
      </patternFill>
    </fill>
  </fills>
  <borders count="12">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top style="thin">
        <color auto="1"/>
      </top>
      <bottom/>
      <diagonal/>
    </border>
    <border>
      <left/>
      <right/>
      <top/>
      <bottom style="thin">
        <color theme="4" tint="0.39997558519241921"/>
      </bottom>
      <diagonal/>
    </border>
    <border>
      <left/>
      <right/>
      <top style="thin">
        <color theme="4" tint="0.39997558519241921"/>
      </top>
      <bottom/>
      <diagonal/>
    </border>
  </borders>
  <cellStyleXfs count="2">
    <xf numFmtId="0" fontId="0" fillId="0" borderId="0"/>
    <xf numFmtId="44" fontId="2" fillId="0" borderId="0" applyFont="0" applyFill="0" applyBorder="0" applyAlignment="0" applyProtection="0"/>
  </cellStyleXfs>
  <cellXfs count="28">
    <xf numFmtId="0" fontId="0" fillId="0" borderId="0" xfId="0"/>
    <xf numFmtId="0" fontId="0" fillId="0" borderId="1" xfId="0" applyBorder="1"/>
    <xf numFmtId="0" fontId="0" fillId="0" borderId="3" xfId="0" applyBorder="1"/>
    <xf numFmtId="0" fontId="1" fillId="0" borderId="4" xfId="0" applyFont="1" applyBorder="1" applyAlignment="1">
      <alignment horizontal="center" vertical="top"/>
    </xf>
    <xf numFmtId="0" fontId="1" fillId="0" borderId="5" xfId="0" applyFont="1" applyBorder="1" applyAlignment="1">
      <alignment horizontal="center" vertical="top"/>
    </xf>
    <xf numFmtId="0" fontId="1" fillId="0" borderId="6" xfId="0" applyFont="1" applyBorder="1" applyAlignment="1">
      <alignment horizontal="center" vertical="top"/>
    </xf>
    <xf numFmtId="0" fontId="0" fillId="0" borderId="8" xfId="0" applyBorder="1"/>
    <xf numFmtId="0" fontId="0" fillId="0" borderId="9" xfId="0" applyBorder="1"/>
    <xf numFmtId="14" fontId="0" fillId="0" borderId="2" xfId="0" applyNumberFormat="1" applyBorder="1"/>
    <xf numFmtId="14" fontId="0" fillId="0" borderId="7" xfId="0" applyNumberFormat="1" applyBorder="1"/>
    <xf numFmtId="0" fontId="0" fillId="0" borderId="0" xfId="0" pivotButton="1"/>
    <xf numFmtId="0" fontId="0" fillId="0" borderId="0" xfId="0" applyAlignment="1">
      <alignment horizontal="left"/>
    </xf>
    <xf numFmtId="0" fontId="1" fillId="2" borderId="10" xfId="0" applyFont="1" applyFill="1" applyBorder="1"/>
    <xf numFmtId="0" fontId="0" fillId="3" borderId="0" xfId="0" applyFill="1"/>
    <xf numFmtId="0" fontId="1" fillId="4" borderId="5" xfId="0" applyFont="1" applyFill="1" applyBorder="1" applyAlignment="1">
      <alignment horizontal="center" vertical="top"/>
    </xf>
    <xf numFmtId="0" fontId="0" fillId="4" borderId="5" xfId="0" applyFill="1" applyBorder="1"/>
    <xf numFmtId="0" fontId="0" fillId="4" borderId="1" xfId="0" applyFill="1" applyBorder="1"/>
    <xf numFmtId="0" fontId="0" fillId="4" borderId="8" xfId="0" applyFill="1" applyBorder="1"/>
    <xf numFmtId="168" fontId="0" fillId="0" borderId="0" xfId="0" applyNumberFormat="1"/>
    <xf numFmtId="0" fontId="3" fillId="5" borderId="0" xfId="0" applyFont="1" applyFill="1" applyAlignment="1">
      <alignment horizontal="center"/>
    </xf>
    <xf numFmtId="168" fontId="0" fillId="0" borderId="0" xfId="1" applyNumberFormat="1" applyFont="1"/>
    <xf numFmtId="0" fontId="4" fillId="5" borderId="0" xfId="0" applyFont="1" applyFill="1" applyAlignment="1">
      <alignment horizontal="center"/>
    </xf>
    <xf numFmtId="173" fontId="0" fillId="0" borderId="0" xfId="0" applyNumberFormat="1"/>
    <xf numFmtId="173" fontId="0" fillId="0" borderId="0" xfId="1" applyNumberFormat="1" applyFont="1"/>
    <xf numFmtId="171" fontId="0" fillId="0" borderId="0" xfId="0" applyNumberFormat="1" applyAlignment="1">
      <alignment horizontal="left"/>
    </xf>
    <xf numFmtId="172" fontId="0" fillId="0" borderId="0" xfId="0" applyNumberFormat="1" applyAlignment="1">
      <alignment horizontal="left"/>
    </xf>
    <xf numFmtId="0" fontId="1" fillId="2" borderId="11" xfId="0" applyFont="1" applyFill="1" applyBorder="1" applyAlignment="1">
      <alignment horizontal="left"/>
    </xf>
    <xf numFmtId="168" fontId="0" fillId="2" borderId="11" xfId="1" applyNumberFormat="1" applyFont="1" applyFill="1" applyBorder="1" applyAlignment="1">
      <alignment horizontal="left"/>
    </xf>
  </cellXfs>
  <cellStyles count="2">
    <cellStyle name="Currency" xfId="1" builtinId="4"/>
    <cellStyle name="Normal" xfId="0" builtinId="0"/>
  </cellStyles>
  <dxfs count="26">
    <dxf>
      <font>
        <b/>
        <i val="0"/>
        <sz val="11"/>
        <color theme="0" tint="-4.9989318521683403E-2"/>
        <name val="Calibri"/>
        <family val="2"/>
        <scheme val="minor"/>
      </font>
      <fill>
        <patternFill>
          <bgColor rgb="FF16365C"/>
        </patternFill>
      </fill>
      <border diagonalUp="0" diagonalDown="0">
        <left/>
        <right/>
        <top/>
        <bottom/>
        <vertical/>
        <horizontal/>
      </border>
    </dxf>
    <dxf>
      <font>
        <b/>
        <i val="0"/>
        <strike val="0"/>
        <sz val="11"/>
        <color theme="0" tint="-4.9989318521683403E-2"/>
        <name val="Calibri"/>
        <family val="2"/>
        <scheme val="minor"/>
      </font>
      <fill>
        <patternFill>
          <bgColor rgb="FF16365C"/>
        </patternFill>
      </fill>
      <border diagonalUp="0" diagonalDown="0">
        <left/>
        <right/>
        <top/>
        <bottom/>
        <vertical/>
        <horizontal/>
      </border>
    </dxf>
    <dxf>
      <alignment horizontal="left"/>
    </dxf>
    <dxf>
      <alignment horizontal="left"/>
    </dxf>
    <dxf>
      <numFmt numFmtId="173" formatCode="&quot;$&quot;#,##0"/>
    </dxf>
    <dxf>
      <numFmt numFmtId="173" formatCode="&quot;$&quot;#,##0"/>
    </dxf>
    <dxf>
      <numFmt numFmtId="168" formatCode="_(&quot;$&quot;* #,##0_);_(&quot;$&quot;* \(#,##0\);_(&quot;$&quot;* &quot;-&quot;??_);_(@_)"/>
    </dxf>
    <dxf>
      <numFmt numFmtId="168" formatCode="_(&quot;$&quot;* #,##0_);_(&quot;$&quot;* \(#,##0\);_(&quot;$&quot;* &quot;-&quot;??_);_(@_)"/>
    </dxf>
    <dxf>
      <numFmt numFmtId="172" formatCode="0,&quot;k&quot;"/>
    </dxf>
    <dxf>
      <numFmt numFmtId="172" formatCode="0,&quot;k&quot;"/>
    </dxf>
    <dxf>
      <numFmt numFmtId="171" formatCode="0.0,&quot;k&quot;"/>
    </dxf>
    <dxf>
      <numFmt numFmtId="168" formatCode="_(&quot;$&quot;* #,##0_);_(&quot;$&quot;* \(#,##0\);_(&quot;$&quot;* &quot;-&quot;??_);_(@_)"/>
    </dxf>
    <dxf>
      <numFmt numFmtId="168" formatCode="_(&quot;$&quot;* #,##0_);_(&quot;$&quot;* \(#,##0\);_(&quot;$&quot;* &quot;-&quot;??_);_(@_)"/>
    </dxf>
    <dxf>
      <numFmt numFmtId="0" formatCode="General"/>
      <fill>
        <patternFill patternType="solid">
          <fgColor indexed="64"/>
          <bgColor rgb="FF00B050"/>
        </patternFill>
      </fill>
      <border diagonalUp="0" diagonalDown="0" outline="0">
        <left style="thin">
          <color auto="1"/>
        </left>
        <right style="thin">
          <color auto="1"/>
        </right>
        <top style="thin">
          <color auto="1"/>
        </top>
        <bottom style="thin">
          <color auto="1"/>
        </bottom>
      </border>
    </dxf>
    <dxf>
      <border diagonalUp="0" diagonalDown="0" outline="0">
        <left style="thin">
          <color auto="1"/>
        </left>
        <right style="thin">
          <color auto="1"/>
        </right>
        <top style="thin">
          <color auto="1"/>
        </top>
        <bottom style="thin">
          <color auto="1"/>
        </bottom>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numFmt numFmtId="19" formatCode="m/d/yyyy"/>
      <border diagonalUp="0" diagonalDown="0">
        <left/>
        <right style="thin">
          <color auto="1"/>
        </right>
        <top style="thin">
          <color auto="1"/>
        </top>
        <bottom style="thin">
          <color auto="1"/>
        </bottom>
        <vertical/>
        <horizontal/>
      </border>
    </dxf>
    <dxf>
      <border outline="0">
        <top style="thin">
          <color auto="1"/>
        </top>
      </border>
    </dxf>
    <dxf>
      <border outline="0">
        <bottom style="thin">
          <color auto="1"/>
        </bottom>
      </border>
    </dxf>
    <dxf>
      <border outline="0">
        <left style="thin">
          <color auto="1"/>
        </left>
        <right style="thin">
          <color auto="1"/>
        </right>
        <top style="thin">
          <color auto="1"/>
        </top>
        <bottom style="thin">
          <color auto="1"/>
        </bottom>
      </border>
    </dxf>
    <dxf>
      <font>
        <b/>
        <i val="0"/>
        <strike val="0"/>
        <condense val="0"/>
        <extend val="0"/>
        <outline val="0"/>
        <shadow val="0"/>
        <u val="none"/>
        <vertAlign val="baseline"/>
        <sz val="11"/>
        <color theme="1"/>
        <name val="Calibri"/>
        <family val="2"/>
        <scheme val="minor"/>
      </font>
      <alignment horizontal="center" vertical="top" textRotation="0" wrapText="0" indent="0" justifyLastLine="0" shrinkToFit="0" readingOrder="0"/>
      <border diagonalUp="0" diagonalDown="0" outline="0">
        <left style="thin">
          <color auto="1"/>
        </left>
        <right style="thin">
          <color auto="1"/>
        </right>
        <top/>
        <bottom/>
      </border>
    </dxf>
  </dxfs>
  <tableStyles count="1" defaultTableStyle="TableStyleMedium9" defaultPivotStyle="PivotStyleLight16">
    <tableStyle name="New" pivot="0" table="0" count="10" xr9:uid="{7151F7FE-AB51-4C95-9ECA-2EBD1B07CA62}">
      <tableStyleElement type="wholeTable" dxfId="1"/>
      <tableStyleElement type="headerRow" dxfId="0"/>
    </tableStyle>
  </tableStyles>
  <colors>
    <mruColors>
      <color rgb="FF06D2DC"/>
      <color rgb="FFADE98F"/>
      <color rgb="FFE9E58F"/>
      <color rgb="FF16365C"/>
      <color rgb="FF44546A"/>
      <color rgb="FF44564A"/>
      <color rgb="FF44564C"/>
      <color rgb="FFCD5C5C"/>
      <color rgb="FF92D050"/>
      <color rgb="FFFF0000"/>
    </mruColors>
  </colors>
  <extLst>
    <ext xmlns:x14="http://schemas.microsoft.com/office/spreadsheetml/2009/9/main" uri="{46F421CA-312F-682f-3DD2-61675219B42D}">
      <x14:dxfs count="8">
        <dxf>
          <font>
            <b/>
            <i val="0"/>
            <sz val="10"/>
            <color rgb="FF000000"/>
            <name val="Calibri"/>
            <family val="2"/>
            <scheme val="minor"/>
          </font>
          <fill>
            <patternFill patternType="solid">
              <fgColor auto="1"/>
              <bgColor rgb="FFADE98F"/>
            </pattern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sz val="10"/>
            <color rgb="FF000000"/>
            <name val="Calibri"/>
            <family val="2"/>
          </font>
          <fill>
            <patternFill patternType="solid">
              <fgColor auto="1"/>
              <bgColor rgb="FFE9E58F"/>
            </patternFill>
          </fill>
          <border diagonalUp="0" diagonalDown="0">
            <left/>
            <right/>
            <top/>
            <bottom/>
            <vertical/>
            <horizontal/>
          </border>
        </dxf>
        <dxf>
          <font>
            <b/>
            <i val="0"/>
            <sz val="10"/>
            <color rgb="FF000000"/>
            <name val="Calibri"/>
            <family val="2"/>
            <scheme val="minor"/>
          </font>
          <fill>
            <patternFill patternType="solid">
              <fgColor auto="1"/>
              <bgColor rgb="FF06D2DC"/>
            </patternFill>
          </fill>
          <border diagonalUp="0" diagonalDown="0">
            <left/>
            <right/>
            <top/>
            <bottom/>
            <vertical/>
            <horizontal/>
          </border>
        </dxf>
        <dxf>
          <font>
            <b/>
            <i val="0"/>
            <sz val="10"/>
            <color theme="4" tint="-0.249977111117893"/>
            <name val="Calibri"/>
            <family val="2"/>
            <scheme val="minor"/>
          </font>
          <fill>
            <patternFill patternType="solid">
              <fgColor theme="4" tint="0.59999389629810485"/>
              <bgColor rgb="FF44546A"/>
            </patternFill>
          </fill>
          <border diagonalUp="0" diagonalDown="0">
            <left style="thin">
              <color auto="1"/>
            </left>
            <right style="thin">
              <color auto="1"/>
            </right>
            <top style="thin">
              <color auto="1"/>
            </top>
            <bottom style="thin">
              <color auto="1"/>
            </bottom>
            <vertical/>
            <horizontal/>
          </border>
        </dxf>
        <dxf>
          <font>
            <b/>
            <i val="0"/>
            <sz val="10"/>
            <color rgb="FFFFFF00"/>
            <name val="Calibri"/>
            <family val="2"/>
            <scheme val="minor"/>
          </font>
          <fill>
            <patternFill patternType="solid">
              <fgColor theme="4"/>
              <bgColor rgb="FF44546A"/>
            </patternFill>
          </fill>
          <border diagonalUp="0" diagonalDown="0">
            <left style="thin">
              <color auto="1"/>
            </left>
            <right style="thin">
              <color auto="1"/>
            </right>
            <top style="thin">
              <color auto="1"/>
            </top>
            <bottom style="thin">
              <color auto="1"/>
            </bottom>
            <vertical/>
            <horizontal/>
          </border>
        </dxf>
        <dxf>
          <font>
            <b/>
            <i val="0"/>
            <sz val="10"/>
            <color theme="0" tint="-4.9989318521683403E-2"/>
            <name val="Calibri"/>
            <family val="2"/>
            <scheme val="none"/>
          </font>
          <fill>
            <patternFill patternType="solid">
              <fgColor rgb="FFDFDFDF"/>
              <bgColor rgb="FF44546A"/>
            </patternFill>
          </fill>
          <border diagonalUp="0" diagonalDown="0">
            <left/>
            <right/>
            <top/>
            <bottom/>
            <vertical/>
            <horizontal/>
          </border>
        </dxf>
        <dxf>
          <font>
            <b/>
            <i val="0"/>
            <sz val="10"/>
            <color theme="0" tint="-4.9989318521683403E-2"/>
            <name val="Calibri"/>
            <family val="2"/>
            <scheme val="none"/>
          </font>
          <fill>
            <patternFill patternType="solid">
              <fgColor rgb="FFC0C0C0"/>
              <bgColor rgb="FF44546A"/>
            </patternFill>
          </fill>
          <border diagonalUp="0" diagonalDown="0">
            <left/>
            <right/>
            <top/>
            <bottom/>
            <vertical/>
            <horizontal/>
          </border>
        </dxf>
      </x14:dxfs>
    </ext>
    <ext xmlns:x14="http://schemas.microsoft.com/office/spreadsheetml/2009/9/main" uri="{EB79DEF2-80B8-43e5-95BD-54CBDDF9020C}">
      <x14:slicerStyles defaultSlicerStyle="SlicerStyleLight1">
        <x14:slicerStyle name="New">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microsoft.com/office/2007/relationships/slicerCache" Target="slicerCaches/slicerCache1.xml"/><Relationship Id="rId10"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[Household Expense Dashboard.xlsm]PVT!PivotTable4</c:name>
    <c:fmtId val="4"/>
  </c:pivotSource>
  <c:chart>
    <c:title>
      <c:tx>
        <c:rich>
          <a:bodyPr rot="0" spcFirstLastPara="1" vertOverflow="ellipsis" vert="horz" wrap="square" anchor="ctr" anchorCtr="1"/>
          <a:lstStyle/>
          <a:p>
            <a:pPr>
              <a:defRPr sz="1400" b="1" i="0" u="none" strike="noStrike" kern="1200" spc="0" baseline="0">
                <a:solidFill>
                  <a:schemeClr val="bg1">
                    <a:lumMod val="95000"/>
                  </a:schemeClr>
                </a:solidFill>
                <a:latin typeface="+mn-lt"/>
                <a:ea typeface="+mn-ea"/>
                <a:cs typeface="+mn-cs"/>
              </a:defRPr>
            </a:pPr>
            <a:r>
              <a:rPr lang="en-US" b="1" i="0" baseline="0">
                <a:solidFill>
                  <a:schemeClr val="bg1">
                    <a:lumMod val="95000"/>
                  </a:schemeClr>
                </a:solidFill>
              </a:rPr>
              <a:t>Total Spent by Account</a:t>
            </a:r>
          </a:p>
        </c:rich>
      </c:tx>
      <c:layout>
        <c:manualLayout>
          <c:xMode val="edge"/>
          <c:yMode val="edge"/>
          <c:x val="2.3664484431905546E-2"/>
          <c:y val="0"/>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bg1">
                  <a:lumMod val="9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lumMod val="95000"/>
                    </a:schemeClr>
                  </a:solidFill>
                  <a:latin typeface="Calibri" panose="020F0502020204030204" pitchFamily="34" charset="0"/>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3">
              <a:lumMod val="50000"/>
            </a:schemeClr>
          </a:solidFill>
          <a:ln w="19050">
            <a:noFill/>
          </a:ln>
          <a:effectLst/>
        </c:spPr>
        <c:dLbl>
          <c:idx val="0"/>
          <c:layout>
            <c:manualLayout>
              <c:x val="-3.0652271015119406E-3"/>
              <c:y val="-4.1743891039021881E-2"/>
            </c:manualLayout>
          </c:layout>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95000"/>
                    </a:schemeClr>
                  </a:solidFill>
                  <a:latin typeface="Calibri" panose="020F0502020204030204" pitchFamily="34" charset="0"/>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manualLayout>
                  <c:w val="0.11053659012031521"/>
                  <c:h val="0.11927621132883186"/>
                </c:manualLayout>
              </c15:layout>
            </c:ext>
          </c:extLst>
        </c:dLbl>
      </c:pivotFmt>
      <c:pivotFmt>
        <c:idx val="3"/>
        <c:spPr>
          <a:solidFill>
            <a:srgbClr val="C00000"/>
          </a:solidFill>
          <a:ln w="19050">
            <a:noFill/>
          </a:ln>
          <a:effectLst/>
        </c:spPr>
        <c:dLbl>
          <c:idx val="0"/>
          <c:layout>
            <c:manualLayout>
              <c:x val="-1.135670521144487E-2"/>
              <c:y val="-1.9480482484876879E-2"/>
            </c:manualLayout>
          </c:layout>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95000"/>
                    </a:schemeClr>
                  </a:solidFill>
                  <a:latin typeface="Calibri" panose="020F0502020204030204" pitchFamily="34" charset="0"/>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manualLayout>
                  <c:w val="0.10016261999782097"/>
                  <c:h val="0.13040791560590437"/>
                </c:manualLayout>
              </c15:layout>
            </c:ext>
          </c:extLst>
        </c:dLbl>
      </c:pivotFmt>
      <c:pivotFmt>
        <c:idx val="4"/>
        <c:spPr>
          <a:solidFill>
            <a:schemeClr val="accent2">
              <a:lumMod val="75000"/>
            </a:schemeClr>
          </a:solidFill>
          <a:ln w="19050">
            <a:noFill/>
          </a:ln>
          <a:effectLst/>
        </c:spPr>
        <c:dLbl>
          <c:idx val="0"/>
          <c:layout>
            <c:manualLayout>
              <c:x val="0"/>
              <c:y val="2.7829260692681254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lumMod val="95000"/>
                    </a:schemeClr>
                  </a:solidFill>
                  <a:latin typeface="Calibri" panose="020F0502020204030204" pitchFamily="34" charset="0"/>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s>
    <c:plotArea>
      <c:layout>
        <c:manualLayout>
          <c:layoutTarget val="inner"/>
          <c:xMode val="edge"/>
          <c:yMode val="edge"/>
          <c:x val="1.0346344278237571E-2"/>
          <c:y val="0.10575119063218877"/>
          <c:w val="0.73980489945899908"/>
          <c:h val="0.89424883127511645"/>
        </c:manualLayout>
      </c:layout>
      <c:doughnutChart>
        <c:varyColors val="1"/>
        <c:ser>
          <c:idx val="0"/>
          <c:order val="0"/>
          <c:tx>
            <c:strRef>
              <c:f>PVT!$F$5</c:f>
              <c:strCache>
                <c:ptCount val="1"/>
                <c:pt idx="0">
                  <c:v>Total</c:v>
                </c:pt>
              </c:strCache>
            </c:strRef>
          </c:tx>
          <c:spPr>
            <a:ln>
              <a:noFill/>
            </a:ln>
          </c:spPr>
          <c:dPt>
            <c:idx val="0"/>
            <c:bubble3D val="0"/>
            <c:spPr>
              <a:solidFill>
                <a:schemeClr val="accent3">
                  <a:lumMod val="50000"/>
                </a:schemeClr>
              </a:solidFill>
              <a:ln w="19050">
                <a:noFill/>
              </a:ln>
              <a:effectLst/>
            </c:spPr>
            <c:extLst>
              <c:ext xmlns:c16="http://schemas.microsoft.com/office/drawing/2014/chart" uri="{C3380CC4-5D6E-409C-BE32-E72D297353CC}">
                <c16:uniqueId val="{00000001-08EC-4109-8C39-61D17BE047DC}"/>
              </c:ext>
            </c:extLst>
          </c:dPt>
          <c:dPt>
            <c:idx val="1"/>
            <c:bubble3D val="0"/>
            <c:spPr>
              <a:solidFill>
                <a:srgbClr val="C00000"/>
              </a:solidFill>
              <a:ln w="19050">
                <a:noFill/>
              </a:ln>
              <a:effectLst/>
            </c:spPr>
            <c:extLst>
              <c:ext xmlns:c16="http://schemas.microsoft.com/office/drawing/2014/chart" uri="{C3380CC4-5D6E-409C-BE32-E72D297353CC}">
                <c16:uniqueId val="{00000003-08EC-4109-8C39-61D17BE047DC}"/>
              </c:ext>
            </c:extLst>
          </c:dPt>
          <c:dPt>
            <c:idx val="2"/>
            <c:bubble3D val="0"/>
            <c:spPr>
              <a:solidFill>
                <a:schemeClr val="accent2">
                  <a:lumMod val="75000"/>
                </a:schemeClr>
              </a:solidFill>
              <a:ln w="19050">
                <a:noFill/>
              </a:ln>
              <a:effectLst/>
            </c:spPr>
            <c:extLst>
              <c:ext xmlns:c16="http://schemas.microsoft.com/office/drawing/2014/chart" uri="{C3380CC4-5D6E-409C-BE32-E72D297353CC}">
                <c16:uniqueId val="{00000005-08EC-4109-8C39-61D17BE047DC}"/>
              </c:ext>
            </c:extLst>
          </c:dPt>
          <c:dLbls>
            <c:dLbl>
              <c:idx val="0"/>
              <c:layout>
                <c:manualLayout>
                  <c:x val="-3.0652271015119406E-3"/>
                  <c:y val="-4.1743891039021881E-2"/>
                </c:manualLayout>
              </c:layout>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95000"/>
                        </a:schemeClr>
                      </a:solidFill>
                      <a:latin typeface="Calibri" panose="020F0502020204030204" pitchFamily="34" charset="0"/>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manualLayout>
                      <c:w val="0.11053659012031521"/>
                      <c:h val="0.11927621132883186"/>
                    </c:manualLayout>
                  </c15:layout>
                </c:ext>
                <c:ext xmlns:c16="http://schemas.microsoft.com/office/drawing/2014/chart" uri="{C3380CC4-5D6E-409C-BE32-E72D297353CC}">
                  <c16:uniqueId val="{00000001-08EC-4109-8C39-61D17BE047DC}"/>
                </c:ext>
              </c:extLst>
            </c:dLbl>
            <c:dLbl>
              <c:idx val="1"/>
              <c:layout>
                <c:manualLayout>
                  <c:x val="-1.135670521144487E-2"/>
                  <c:y val="-1.9480482484876879E-2"/>
                </c:manualLayout>
              </c:layout>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95000"/>
                        </a:schemeClr>
                      </a:solidFill>
                      <a:latin typeface="Calibri" panose="020F0502020204030204" pitchFamily="34" charset="0"/>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manualLayout>
                      <c:w val="0.10016261999782097"/>
                      <c:h val="0.13040791560590437"/>
                    </c:manualLayout>
                  </c15:layout>
                </c:ext>
                <c:ext xmlns:c16="http://schemas.microsoft.com/office/drawing/2014/chart" uri="{C3380CC4-5D6E-409C-BE32-E72D297353CC}">
                  <c16:uniqueId val="{00000003-08EC-4109-8C39-61D17BE047DC}"/>
                </c:ext>
              </c:extLst>
            </c:dLbl>
            <c:dLbl>
              <c:idx val="2"/>
              <c:layout>
                <c:manualLayout>
                  <c:x val="0"/>
                  <c:y val="2.7829260692681254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08EC-4109-8C39-61D17BE047DC}"/>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lumMod val="95000"/>
                      </a:schemeClr>
                    </a:solidFill>
                    <a:latin typeface="Calibri" panose="020F0502020204030204" pitchFamily="34" charset="0"/>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PVT!$E$6:$E$9</c:f>
              <c:strCache>
                <c:ptCount val="3"/>
                <c:pt idx="0">
                  <c:v>Cash</c:v>
                </c:pt>
                <c:pt idx="1">
                  <c:v>Checking Account</c:v>
                </c:pt>
                <c:pt idx="2">
                  <c:v>Credit Card</c:v>
                </c:pt>
              </c:strCache>
            </c:strRef>
          </c:cat>
          <c:val>
            <c:numRef>
              <c:f>PVT!$F$6:$F$9</c:f>
              <c:numCache>
                <c:formatCode>_("$"* #,##0_);_("$"* \(#,##0\);_("$"* "-"??_);_(@_)</c:formatCode>
                <c:ptCount val="3"/>
                <c:pt idx="0">
                  <c:v>2263.37</c:v>
                </c:pt>
                <c:pt idx="1">
                  <c:v>35015.08</c:v>
                </c:pt>
                <c:pt idx="2">
                  <c:v>37366.600000000035</c:v>
                </c:pt>
              </c:numCache>
            </c:numRef>
          </c:val>
          <c:extLst>
            <c:ext xmlns:c16="http://schemas.microsoft.com/office/drawing/2014/chart" uri="{C3380CC4-5D6E-409C-BE32-E72D297353CC}">
              <c16:uniqueId val="{00000006-08EC-4109-8C39-61D17BE047DC}"/>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layout>
        <c:manualLayout>
          <c:xMode val="edge"/>
          <c:yMode val="edge"/>
          <c:x val="0.64955840553559829"/>
          <c:y val="2.5162034226922883E-2"/>
          <c:w val="0.31890467562758001"/>
          <c:h val="0.20385130672622276"/>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bg1">
                  <a:lumMod val="95000"/>
                </a:schemeClr>
              </a:solidFill>
              <a:latin typeface="Calibri" panose="020F050202020403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bg1">
                    <a:lumMod val="95000"/>
                  </a:schemeClr>
                </a:solidFill>
                <a:latin typeface="+mn-lt"/>
                <a:ea typeface="+mn-ea"/>
                <a:cs typeface="+mn-cs"/>
              </a:defRPr>
            </a:pPr>
            <a:r>
              <a:rPr lang="en-US" b="1" i="0" baseline="0">
                <a:solidFill>
                  <a:schemeClr val="bg1">
                    <a:lumMod val="95000"/>
                  </a:schemeClr>
                </a:solidFill>
              </a:rPr>
              <a:t>Total Income vs Expenses</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bg1">
                  <a:lumMod val="95000"/>
                </a:schemeClr>
              </a:solidFill>
              <a:latin typeface="+mn-lt"/>
              <a:ea typeface="+mn-ea"/>
              <a:cs typeface="+mn-cs"/>
            </a:defRPr>
          </a:pPr>
          <a:endParaRPr lang="en-US"/>
        </a:p>
      </c:txPr>
    </c:title>
    <c:autoTitleDeleted val="0"/>
    <c:plotArea>
      <c:layout>
        <c:manualLayout>
          <c:layoutTarget val="inner"/>
          <c:xMode val="edge"/>
          <c:yMode val="edge"/>
          <c:x val="3.11813687638797E-2"/>
          <c:y val="0.24915896689397485"/>
          <c:w val="0.91425123589933088"/>
          <c:h val="0.67694648913639122"/>
        </c:manualLayout>
      </c:layout>
      <c:barChart>
        <c:barDir val="bar"/>
        <c:grouping val="clustered"/>
        <c:varyColors val="0"/>
        <c:ser>
          <c:idx val="0"/>
          <c:order val="0"/>
          <c:spPr>
            <a:solidFill>
              <a:srgbClr val="C00000"/>
            </a:solidFill>
            <a:ln>
              <a:noFill/>
            </a:ln>
            <a:effectLst/>
          </c:spPr>
          <c:invertIfNegative val="0"/>
          <c:dPt>
            <c:idx val="0"/>
            <c:invertIfNegative val="0"/>
            <c:bubble3D val="0"/>
            <c:spPr>
              <a:solidFill>
                <a:srgbClr val="FF0000"/>
              </a:solidFill>
              <a:ln>
                <a:noFill/>
              </a:ln>
              <a:effectLst/>
            </c:spPr>
            <c:extLst>
              <c:ext xmlns:c16="http://schemas.microsoft.com/office/drawing/2014/chart" uri="{C3380CC4-5D6E-409C-BE32-E72D297353CC}">
                <c16:uniqueId val="{00000003-F30C-4C8E-BD5B-74F90FB446CD}"/>
              </c:ext>
            </c:extLst>
          </c:dPt>
          <c:dPt>
            <c:idx val="1"/>
            <c:invertIfNegative val="0"/>
            <c:bubble3D val="0"/>
            <c:spPr>
              <a:solidFill>
                <a:srgbClr val="00B050"/>
              </a:solidFill>
              <a:ln>
                <a:noFill/>
              </a:ln>
              <a:effectLst/>
            </c:spPr>
            <c:extLst>
              <c:ext xmlns:c16="http://schemas.microsoft.com/office/drawing/2014/chart" uri="{C3380CC4-5D6E-409C-BE32-E72D297353CC}">
                <c16:uniqueId val="{00000002-F30C-4C8E-BD5B-74F90FB446CD}"/>
              </c:ext>
            </c:extLst>
          </c:dPt>
          <c:dLbls>
            <c:dLbl>
              <c:idx val="0"/>
              <c:layout>
                <c:manualLayout>
                  <c:x val="-0.5329543487574715"/>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F30C-4C8E-BD5B-74F90FB446CD}"/>
                </c:ext>
              </c:extLst>
            </c:dLbl>
            <c:dLbl>
              <c:idx val="1"/>
              <c:layout>
                <c:manualLayout>
                  <c:x val="-0.28560998245741104"/>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F30C-4C8E-BD5B-74F90FB446CD}"/>
                </c:ext>
              </c:extLst>
            </c:dLbl>
            <c:spPr>
              <a:noFill/>
              <a:ln>
                <a:noFill/>
              </a:ln>
              <a:effectLst/>
            </c:spPr>
            <c:txPr>
              <a:bodyPr rot="0" spcFirstLastPara="1" vertOverflow="ellipsis" vert="horz" wrap="square" anchor="ctr" anchorCtr="1"/>
              <a:lstStyle/>
              <a:p>
                <a:pPr>
                  <a:defRPr sz="1200" b="1" i="0" u="none" strike="noStrike" kern="1200" baseline="0">
                    <a:solidFill>
                      <a:schemeClr val="bg1">
                        <a:lumMod val="9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PVT!$T$23:$T$24</c:f>
              <c:strCache>
                <c:ptCount val="2"/>
                <c:pt idx="0">
                  <c:v>Expense</c:v>
                </c:pt>
                <c:pt idx="1">
                  <c:v>Income</c:v>
                </c:pt>
              </c:strCache>
            </c:strRef>
          </c:cat>
          <c:val>
            <c:numRef>
              <c:f>PVT!$U$23:$U$24</c:f>
              <c:numCache>
                <c:formatCode>"$"#,##0</c:formatCode>
                <c:ptCount val="2"/>
                <c:pt idx="0">
                  <c:v>-74645.050000000032</c:v>
                </c:pt>
                <c:pt idx="1">
                  <c:v>89532</c:v>
                </c:pt>
              </c:numCache>
            </c:numRef>
          </c:val>
          <c:extLst>
            <c:ext xmlns:c16="http://schemas.microsoft.com/office/drawing/2014/chart" uri="{C3380CC4-5D6E-409C-BE32-E72D297353CC}">
              <c16:uniqueId val="{00000000-F30C-4C8E-BD5B-74F90FB446CD}"/>
            </c:ext>
          </c:extLst>
        </c:ser>
        <c:dLbls>
          <c:dLblPos val="outEnd"/>
          <c:showLegendKey val="0"/>
          <c:showVal val="1"/>
          <c:showCatName val="0"/>
          <c:showSerName val="0"/>
          <c:showPercent val="0"/>
          <c:showBubbleSize val="0"/>
        </c:dLbls>
        <c:gapWidth val="182"/>
        <c:axId val="1790499199"/>
        <c:axId val="1790500639"/>
      </c:barChart>
      <c:catAx>
        <c:axId val="1790499199"/>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bg1">
                    <a:lumMod val="95000"/>
                  </a:schemeClr>
                </a:solidFill>
                <a:latin typeface="+mn-lt"/>
                <a:ea typeface="+mn-ea"/>
                <a:cs typeface="+mn-cs"/>
              </a:defRPr>
            </a:pPr>
            <a:endParaRPr lang="en-US"/>
          </a:p>
        </c:txPr>
        <c:crossAx val="1790500639"/>
        <c:crosses val="autoZero"/>
        <c:auto val="1"/>
        <c:lblAlgn val="ctr"/>
        <c:lblOffset val="100"/>
        <c:noMultiLvlLbl val="0"/>
      </c:catAx>
      <c:valAx>
        <c:axId val="1790500639"/>
        <c:scaling>
          <c:orientation val="minMax"/>
        </c:scaling>
        <c:delete val="1"/>
        <c:axPos val="b"/>
        <c:numFmt formatCode="&quot;$&quot;#,##0" sourceLinked="1"/>
        <c:majorTickMark val="out"/>
        <c:minorTickMark val="none"/>
        <c:tickLblPos val="nextTo"/>
        <c:crossAx val="1790499199"/>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bg1">
                    <a:lumMod val="95000"/>
                  </a:schemeClr>
                </a:solidFill>
                <a:latin typeface="+mn-lt"/>
                <a:ea typeface="+mn-ea"/>
                <a:cs typeface="+mn-cs"/>
              </a:defRPr>
            </a:pPr>
            <a:r>
              <a:rPr lang="en-US" b="1" i="0" baseline="0">
                <a:solidFill>
                  <a:schemeClr val="bg1">
                    <a:lumMod val="95000"/>
                  </a:schemeClr>
                </a:solidFill>
              </a:rPr>
              <a:t>Monthly Net Income vs Expenses</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bg1">
                  <a:lumMod val="95000"/>
                </a:schemeClr>
              </a:solidFill>
              <a:latin typeface="+mn-lt"/>
              <a:ea typeface="+mn-ea"/>
              <a:cs typeface="+mn-cs"/>
            </a:defRPr>
          </a:pPr>
          <a:endParaRPr lang="en-US"/>
        </a:p>
      </c:txPr>
    </c:title>
    <c:autoTitleDeleted val="0"/>
    <c:plotArea>
      <c:layout/>
      <c:barChart>
        <c:barDir val="col"/>
        <c:grouping val="clustered"/>
        <c:varyColors val="0"/>
        <c:ser>
          <c:idx val="0"/>
          <c:order val="0"/>
          <c:tx>
            <c:strRef>
              <c:f>PVT!$I$23</c:f>
              <c:strCache>
                <c:ptCount val="1"/>
                <c:pt idx="0">
                  <c:v>Expenses</c:v>
                </c:pt>
              </c:strCache>
            </c:strRef>
          </c:tx>
          <c:spPr>
            <a:solidFill>
              <a:srgbClr val="CD5C5C"/>
            </a:solidFill>
            <a:ln>
              <a:noFill/>
            </a:ln>
            <a:effectLst/>
          </c:spPr>
          <c:invertIfNegative val="0"/>
          <c:dLbls>
            <c:spPr>
              <a:noFill/>
              <a:ln>
                <a:noFill/>
              </a:ln>
              <a:effectLst/>
            </c:spPr>
            <c:txPr>
              <a:bodyPr rot="-5400000" spcFirstLastPara="1" vertOverflow="ellipsis" vert="horz" wrap="square" anchor="ctr" anchorCtr="1"/>
              <a:lstStyle/>
              <a:p>
                <a:pPr>
                  <a:defRPr sz="1000" b="1"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PVT!$H$24:$H$35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PVT!$I$24:$I$35</c:f>
              <c:numCache>
                <c:formatCode>0.0,"k"</c:formatCode>
                <c:ptCount val="12"/>
                <c:pt idx="0">
                  <c:v>6612.9199999999992</c:v>
                </c:pt>
                <c:pt idx="1">
                  <c:v>6661.51</c:v>
                </c:pt>
                <c:pt idx="2">
                  <c:v>6554.0699999999988</c:v>
                </c:pt>
                <c:pt idx="3">
                  <c:v>5597.9800000000005</c:v>
                </c:pt>
                <c:pt idx="4">
                  <c:v>5589.3500000000022</c:v>
                </c:pt>
                <c:pt idx="5">
                  <c:v>6188.2399999999989</c:v>
                </c:pt>
                <c:pt idx="6">
                  <c:v>6402.420000000001</c:v>
                </c:pt>
                <c:pt idx="7">
                  <c:v>6629.48</c:v>
                </c:pt>
                <c:pt idx="8">
                  <c:v>6053.5200000000013</c:v>
                </c:pt>
                <c:pt idx="9">
                  <c:v>6356.79</c:v>
                </c:pt>
                <c:pt idx="10">
                  <c:v>5873.5899999999983</c:v>
                </c:pt>
                <c:pt idx="11">
                  <c:v>6125.1800000000012</c:v>
                </c:pt>
              </c:numCache>
            </c:numRef>
          </c:val>
          <c:extLst>
            <c:ext xmlns:c16="http://schemas.microsoft.com/office/drawing/2014/chart" uri="{C3380CC4-5D6E-409C-BE32-E72D297353CC}">
              <c16:uniqueId val="{00000000-8240-4978-8431-B01A8EAFA1C5}"/>
            </c:ext>
          </c:extLst>
        </c:ser>
        <c:ser>
          <c:idx val="1"/>
          <c:order val="1"/>
          <c:tx>
            <c:strRef>
              <c:f>PVT!$J$23</c:f>
              <c:strCache>
                <c:ptCount val="1"/>
                <c:pt idx="0">
                  <c:v>Salary</c:v>
                </c:pt>
              </c:strCache>
            </c:strRef>
          </c:tx>
          <c:spPr>
            <a:solidFill>
              <a:srgbClr val="92D050"/>
            </a:solidFill>
            <a:ln>
              <a:noFill/>
            </a:ln>
            <a:effectLst/>
          </c:spPr>
          <c:invertIfNegative val="0"/>
          <c:dLbls>
            <c:spPr>
              <a:noFill/>
              <a:ln>
                <a:noFill/>
              </a:ln>
              <a:effectLst/>
            </c:spPr>
            <c:txPr>
              <a:bodyPr rot="-5400000" spcFirstLastPara="1" vertOverflow="ellipsis" vert="horz" wrap="square" anchor="ctr" anchorCtr="1"/>
              <a:lstStyle/>
              <a:p>
                <a:pPr>
                  <a:defRPr sz="1000" b="1"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PVT!$H$24:$H$35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PVT!$J$24:$J$35</c:f>
              <c:numCache>
                <c:formatCode>0,"k"</c:formatCode>
                <c:ptCount val="12"/>
                <c:pt idx="0">
                  <c:v>7461</c:v>
                </c:pt>
                <c:pt idx="1">
                  <c:v>7461</c:v>
                </c:pt>
                <c:pt idx="2">
                  <c:v>7461</c:v>
                </c:pt>
                <c:pt idx="3">
                  <c:v>7461</c:v>
                </c:pt>
                <c:pt idx="4">
                  <c:v>7461</c:v>
                </c:pt>
                <c:pt idx="5">
                  <c:v>7461</c:v>
                </c:pt>
                <c:pt idx="6">
                  <c:v>7461</c:v>
                </c:pt>
                <c:pt idx="7">
                  <c:v>7461</c:v>
                </c:pt>
                <c:pt idx="8">
                  <c:v>7461</c:v>
                </c:pt>
                <c:pt idx="9">
                  <c:v>7461</c:v>
                </c:pt>
                <c:pt idx="10">
                  <c:v>7461</c:v>
                </c:pt>
                <c:pt idx="11">
                  <c:v>7461</c:v>
                </c:pt>
              </c:numCache>
            </c:numRef>
          </c:val>
          <c:extLst>
            <c:ext xmlns:c16="http://schemas.microsoft.com/office/drawing/2014/chart" uri="{C3380CC4-5D6E-409C-BE32-E72D297353CC}">
              <c16:uniqueId val="{00000001-8240-4978-8431-B01A8EAFA1C5}"/>
            </c:ext>
          </c:extLst>
        </c:ser>
        <c:dLbls>
          <c:dLblPos val="outEnd"/>
          <c:showLegendKey val="0"/>
          <c:showVal val="1"/>
          <c:showCatName val="0"/>
          <c:showSerName val="0"/>
          <c:showPercent val="0"/>
          <c:showBubbleSize val="0"/>
        </c:dLbls>
        <c:gapWidth val="14"/>
        <c:overlap val="-27"/>
        <c:axId val="2114622575"/>
        <c:axId val="2114622095"/>
      </c:barChart>
      <c:catAx>
        <c:axId val="2114622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bg1">
                    <a:lumMod val="95000"/>
                  </a:schemeClr>
                </a:solidFill>
                <a:latin typeface="+mn-lt"/>
                <a:ea typeface="+mn-ea"/>
                <a:cs typeface="+mn-cs"/>
              </a:defRPr>
            </a:pPr>
            <a:endParaRPr lang="en-US"/>
          </a:p>
        </c:txPr>
        <c:crossAx val="2114622095"/>
        <c:crosses val="autoZero"/>
        <c:auto val="1"/>
        <c:lblAlgn val="ctr"/>
        <c:lblOffset val="100"/>
        <c:noMultiLvlLbl val="0"/>
      </c:catAx>
      <c:valAx>
        <c:axId val="2114622095"/>
        <c:scaling>
          <c:orientation val="minMax"/>
        </c:scaling>
        <c:delete val="1"/>
        <c:axPos val="l"/>
        <c:numFmt formatCode="0.0,&quot;k&quot;" sourceLinked="1"/>
        <c:majorTickMark val="none"/>
        <c:minorTickMark val="none"/>
        <c:tickLblPos val="nextTo"/>
        <c:crossAx val="2114622575"/>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bg1">
                    <a:lumMod val="95000"/>
                  </a:schemeClr>
                </a:solidFill>
                <a:latin typeface="+mn-lt"/>
                <a:ea typeface="+mn-ea"/>
                <a:cs typeface="+mn-cs"/>
              </a:defRPr>
            </a:pPr>
            <a:r>
              <a:rPr lang="en-US" b="1" i="0" baseline="0">
                <a:solidFill>
                  <a:schemeClr val="bg1">
                    <a:lumMod val="95000"/>
                  </a:schemeClr>
                </a:solidFill>
              </a:rPr>
              <a:t>All Expenses by SubCategory</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bg1">
                  <a:lumMod val="95000"/>
                </a:schemeClr>
              </a:solidFill>
              <a:latin typeface="+mn-lt"/>
              <a:ea typeface="+mn-ea"/>
              <a:cs typeface="+mn-cs"/>
            </a:defRPr>
          </a:pPr>
          <a:endParaRPr lang="en-US"/>
        </a:p>
      </c:txPr>
    </c:title>
    <c:autoTitleDeleted val="0"/>
    <c:plotArea>
      <c:layout>
        <c:manualLayout>
          <c:layoutTarget val="inner"/>
          <c:xMode val="edge"/>
          <c:yMode val="edge"/>
          <c:x val="0.33305770406111446"/>
          <c:y val="7.5332963500197803E-2"/>
          <c:w val="0.62800861613203229"/>
          <c:h val="0.89290534242152797"/>
        </c:manualLayout>
      </c:layout>
      <c:barChart>
        <c:barDir val="bar"/>
        <c:grouping val="clustered"/>
        <c:varyColors val="0"/>
        <c:ser>
          <c:idx val="0"/>
          <c:order val="0"/>
          <c:tx>
            <c:strRef>
              <c:f>PVT!$O$23</c:f>
              <c:strCache>
                <c:ptCount val="1"/>
                <c:pt idx="0">
                  <c:v>Sum of Debit</c:v>
                </c:pt>
              </c:strCache>
            </c:strRef>
          </c:tx>
          <c:spPr>
            <a:solidFill>
              <a:srgbClr val="CD5C5C"/>
            </a:solidFill>
            <a:ln>
              <a:noFill/>
            </a:ln>
            <a:effectLst/>
          </c:spPr>
          <c:invertIfNegative val="0"/>
          <c:dLbls>
            <c:spPr>
              <a:noFill/>
              <a:ln>
                <a:noFill/>
              </a:ln>
              <a:effectLst/>
            </c:spPr>
            <c:txPr>
              <a:bodyPr rot="0" spcFirstLastPara="1" vertOverflow="ellipsis" vert="horz" wrap="square" anchor="t" anchorCtr="1"/>
              <a:lstStyle/>
              <a:p>
                <a:pPr>
                  <a:defRPr sz="1000" b="1" i="0" u="none" strike="noStrike" kern="1200" baseline="0">
                    <a:solidFill>
                      <a:schemeClr val="bg1">
                        <a:lumMod val="95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PVT!$N$24:$N$39</c:f>
              <c:strCache>
                <c:ptCount val="16"/>
                <c:pt idx="0">
                  <c:v>Books &amp; Materials</c:v>
                </c:pt>
                <c:pt idx="1">
                  <c:v>Car Loan/Lease</c:v>
                </c:pt>
                <c:pt idx="2">
                  <c:v>Credit Card Payments</c:v>
                </c:pt>
                <c:pt idx="3">
                  <c:v>Dining Out</c:v>
                </c:pt>
                <c:pt idx="4">
                  <c:v>Emergency Fund</c:v>
                </c:pt>
                <c:pt idx="5">
                  <c:v>Gas &amp; Fuel</c:v>
                </c:pt>
                <c:pt idx="6">
                  <c:v>Groceries</c:v>
                </c:pt>
                <c:pt idx="7">
                  <c:v>Health Insurance</c:v>
                </c:pt>
                <c:pt idx="8">
                  <c:v>Home Maintenance</c:v>
                </c:pt>
                <c:pt idx="9">
                  <c:v>Medical Expenses</c:v>
                </c:pt>
                <c:pt idx="10">
                  <c:v>Public Transport</c:v>
                </c:pt>
                <c:pt idx="11">
                  <c:v>Rent/Mortgage</c:v>
                </c:pt>
                <c:pt idx="12">
                  <c:v>Retirement Savings</c:v>
                </c:pt>
                <c:pt idx="13">
                  <c:v>Student Loans</c:v>
                </c:pt>
                <c:pt idx="14">
                  <c:v>Tuition Fees</c:v>
                </c:pt>
                <c:pt idx="15">
                  <c:v>Utilities</c:v>
                </c:pt>
              </c:strCache>
            </c:strRef>
          </c:cat>
          <c:val>
            <c:numRef>
              <c:f>PVT!$O$24:$O$39</c:f>
              <c:numCache>
                <c:formatCode>_("$"* #,##0_);_("$"* \(#,##0\);_("$"* "-"??_);_(@_)</c:formatCode>
                <c:ptCount val="16"/>
                <c:pt idx="0">
                  <c:v>4030.1299999999997</c:v>
                </c:pt>
                <c:pt idx="1">
                  <c:v>5560.7600000000011</c:v>
                </c:pt>
                <c:pt idx="2">
                  <c:v>4033.3999999999996</c:v>
                </c:pt>
                <c:pt idx="3">
                  <c:v>2961.7000000000003</c:v>
                </c:pt>
                <c:pt idx="4">
                  <c:v>6064.3899999999985</c:v>
                </c:pt>
                <c:pt idx="5">
                  <c:v>4487.82</c:v>
                </c:pt>
                <c:pt idx="6">
                  <c:v>4159.0000000000009</c:v>
                </c:pt>
                <c:pt idx="7">
                  <c:v>5921.4900000000007</c:v>
                </c:pt>
                <c:pt idx="8">
                  <c:v>4905.6400000000012</c:v>
                </c:pt>
                <c:pt idx="9">
                  <c:v>4107.3099999999995</c:v>
                </c:pt>
                <c:pt idx="10">
                  <c:v>4775.42</c:v>
                </c:pt>
                <c:pt idx="11">
                  <c:v>4742.5900000000011</c:v>
                </c:pt>
                <c:pt idx="12">
                  <c:v>3668.72</c:v>
                </c:pt>
                <c:pt idx="13">
                  <c:v>3545.9199999999992</c:v>
                </c:pt>
                <c:pt idx="14">
                  <c:v>6071.6200000000008</c:v>
                </c:pt>
                <c:pt idx="15">
                  <c:v>5609.1399999999985</c:v>
                </c:pt>
              </c:numCache>
            </c:numRef>
          </c:val>
          <c:extLst>
            <c:ext xmlns:c16="http://schemas.microsoft.com/office/drawing/2014/chart" uri="{C3380CC4-5D6E-409C-BE32-E72D297353CC}">
              <c16:uniqueId val="{00000000-68FA-4D38-8233-642934EDA3CD}"/>
            </c:ext>
          </c:extLst>
        </c:ser>
        <c:dLbls>
          <c:dLblPos val="inBase"/>
          <c:showLegendKey val="0"/>
          <c:showVal val="1"/>
          <c:showCatName val="0"/>
          <c:showSerName val="0"/>
          <c:showPercent val="0"/>
          <c:showBubbleSize val="0"/>
        </c:dLbls>
        <c:gapWidth val="10"/>
        <c:overlap val="100"/>
        <c:axId val="1988189583"/>
        <c:axId val="1988190063"/>
      </c:barChart>
      <c:catAx>
        <c:axId val="1988189583"/>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bg1">
                    <a:lumMod val="95000"/>
                  </a:schemeClr>
                </a:solidFill>
                <a:latin typeface="+mn-lt"/>
                <a:ea typeface="+mn-ea"/>
                <a:cs typeface="+mn-cs"/>
              </a:defRPr>
            </a:pPr>
            <a:endParaRPr lang="en-US"/>
          </a:p>
        </c:txPr>
        <c:crossAx val="1988190063"/>
        <c:crosses val="autoZero"/>
        <c:auto val="1"/>
        <c:lblAlgn val="ctr"/>
        <c:lblOffset val="100"/>
        <c:noMultiLvlLbl val="0"/>
      </c:catAx>
      <c:valAx>
        <c:axId val="1988190063"/>
        <c:scaling>
          <c:orientation val="minMax"/>
        </c:scaling>
        <c:delete val="1"/>
        <c:axPos val="b"/>
        <c:numFmt formatCode="_(&quot;$&quot;* #,##0_);_(&quot;$&quot;* \(#,##0\);_(&quot;$&quot;* &quot;-&quot;??_);_(@_)" sourceLinked="1"/>
        <c:majorTickMark val="out"/>
        <c:minorTickMark val="none"/>
        <c:tickLblPos val="nextTo"/>
        <c:crossAx val="19881895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_xlchart.v1.2</cx:f>
      </cx:strDim>
      <cx:numDim type="val">
        <cx:f>_xlchart.v1.3</cx:f>
      </cx:numDim>
    </cx:data>
  </cx:chartData>
  <cx:chart>
    <cx:title pos="t" align="ctr" overlay="0">
      <cx:tx>
        <cx:txData>
          <cx:v>Expenses by Category</cx:v>
        </cx:txData>
      </cx:tx>
      <cx:txPr>
        <a:bodyPr spcFirstLastPara="1" vertOverflow="ellipsis" horzOverflow="overflow" wrap="square" lIns="0" tIns="0" rIns="0" bIns="0" anchor="ctr" anchorCtr="1"/>
        <a:lstStyle/>
        <a:p>
          <a:pPr algn="ctr" rtl="0">
            <a:defRPr b="1" i="0" baseline="0">
              <a:solidFill>
                <a:schemeClr val="bg1">
                  <a:lumMod val="95000"/>
                </a:schemeClr>
              </a:solidFill>
            </a:defRPr>
          </a:pPr>
          <a:r>
            <a:rPr lang="en-US" sz="1400" b="1" i="0" u="none" strike="noStrike" baseline="0">
              <a:solidFill>
                <a:schemeClr val="bg1">
                  <a:lumMod val="95000"/>
                </a:schemeClr>
              </a:solidFill>
              <a:latin typeface="Calibri"/>
            </a:rPr>
            <a:t>Expenses by Category</a:t>
          </a:r>
        </a:p>
      </cx:txPr>
    </cx:title>
    <cx:plotArea>
      <cx:plotAreaRegion>
        <cx:plotSurface>
          <cx:spPr>
            <a:ln>
              <a:noFill/>
            </a:ln>
          </cx:spPr>
        </cx:plotSurface>
        <cx:series layoutId="waterfall" uniqueId="{85BC57CC-9DA2-474F-8A83-49933B609743}">
          <cx:dataPt idx="0">
            <cx:spPr>
              <a:solidFill>
                <a:srgbClr val="9DC3E6"/>
              </a:solidFill>
            </cx:spPr>
          </cx:dataPt>
          <cx:dataPt idx="1">
            <cx:spPr>
              <a:solidFill>
                <a:srgbClr val="70AD47"/>
              </a:solidFill>
            </cx:spPr>
          </cx:dataPt>
          <cx:dataPt idx="2">
            <cx:spPr>
              <a:solidFill>
                <a:srgbClr val="C00000"/>
              </a:solidFill>
            </cx:spPr>
          </cx:dataPt>
          <cx:dataPt idx="3">
            <cx:spPr>
              <a:solidFill>
                <a:srgbClr val="CA24A6"/>
              </a:solidFill>
            </cx:spPr>
          </cx:dataPt>
          <cx:dataPt idx="4">
            <cx:spPr>
              <a:solidFill>
                <a:srgbClr val="C00000"/>
              </a:solidFill>
            </cx:spPr>
          </cx:dataPt>
          <cx:dataPt idx="5">
            <cx:spPr>
              <a:solidFill>
                <a:srgbClr val="B48900"/>
              </a:solidFill>
            </cx:spPr>
          </cx:dataPt>
          <cx:dataPt idx="6">
            <cx:spPr>
              <a:solidFill>
                <a:srgbClr val="C00000"/>
              </a:solidFill>
            </cx:spPr>
          </cx:dataPt>
          <cx:dataPt idx="7">
            <cx:spPr>
              <a:solidFill>
                <a:srgbClr val="70AD47"/>
              </a:solidFill>
            </cx:spPr>
          </cx:dataPt>
          <cx:dataLabels pos="outEnd">
            <cx:txPr>
              <a:bodyPr spcFirstLastPara="1" vertOverflow="ellipsis" horzOverflow="overflow" wrap="square" lIns="0" tIns="0" rIns="0" bIns="0" anchor="ctr" anchorCtr="1"/>
              <a:lstStyle/>
              <a:p>
                <a:pPr algn="ctr" rtl="0">
                  <a:defRPr baseline="0">
                    <a:solidFill>
                      <a:schemeClr val="bg1">
                        <a:lumMod val="95000"/>
                      </a:schemeClr>
                    </a:solidFill>
                  </a:defRPr>
                </a:pPr>
                <a:endParaRPr lang="en-US" sz="900" b="0" i="0" u="none" strike="noStrike" baseline="0">
                  <a:solidFill>
                    <a:schemeClr val="bg1">
                      <a:lumMod val="95000"/>
                    </a:schemeClr>
                  </a:solidFill>
                  <a:latin typeface="Calibri"/>
                </a:endParaRPr>
              </a:p>
            </cx:txPr>
            <cx:visibility seriesName="0" categoryName="0" value="1"/>
          </cx:dataLabels>
          <cx:dataId val="0"/>
          <cx:layoutPr>
            <cx:subtotals/>
          </cx:layoutPr>
        </cx:series>
      </cx:plotAreaRegion>
      <cx:axis id="0">
        <cx:catScaling gapWidth="0.5"/>
        <cx:tickLabels/>
        <cx:txPr>
          <a:bodyPr spcFirstLastPara="1" vertOverflow="ellipsis" horzOverflow="overflow" wrap="square" lIns="0" tIns="0" rIns="0" bIns="0" anchor="ctr" anchorCtr="1"/>
          <a:lstStyle/>
          <a:p>
            <a:pPr algn="ctr" rtl="0">
              <a:defRPr sz="800" baseline="0">
                <a:solidFill>
                  <a:schemeClr val="bg1"/>
                </a:solidFill>
              </a:defRPr>
            </a:pPr>
            <a:endParaRPr lang="en-US" sz="800" b="0" i="0" u="none" strike="noStrike" baseline="0">
              <a:solidFill>
                <a:schemeClr val="bg1"/>
              </a:solidFill>
              <a:latin typeface="Calibri"/>
            </a:endParaRPr>
          </a:p>
        </cx:txPr>
      </cx:axis>
      <cx:axis id="1" hidden="1">
        <cx:valScaling/>
        <cx:tickLabels/>
      </cx:axis>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media/image13.png"/><Relationship Id="rId18" Type="http://schemas.microsoft.com/office/2014/relationships/chartEx" Target="../charts/chartEx1.xml"/><Relationship Id="rId3" Type="http://schemas.openxmlformats.org/officeDocument/2006/relationships/image" Target="../media/image3.png"/><Relationship Id="rId21" Type="http://schemas.openxmlformats.org/officeDocument/2006/relationships/chart" Target="../charts/chart4.xml"/><Relationship Id="rId7" Type="http://schemas.openxmlformats.org/officeDocument/2006/relationships/image" Target="../media/image7.png"/><Relationship Id="rId12" Type="http://schemas.openxmlformats.org/officeDocument/2006/relationships/image" Target="../media/image12.svg"/><Relationship Id="rId17" Type="http://schemas.openxmlformats.org/officeDocument/2006/relationships/chart" Target="../charts/chart1.xml"/><Relationship Id="rId25" Type="http://schemas.openxmlformats.org/officeDocument/2006/relationships/image" Target="../media/image20.svg"/><Relationship Id="rId2" Type="http://schemas.openxmlformats.org/officeDocument/2006/relationships/image" Target="../media/image2.svg"/><Relationship Id="rId16" Type="http://schemas.openxmlformats.org/officeDocument/2006/relationships/image" Target="../media/image16.svg"/><Relationship Id="rId20" Type="http://schemas.openxmlformats.org/officeDocument/2006/relationships/chart" Target="../charts/chart3.xml"/><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24" Type="http://schemas.openxmlformats.org/officeDocument/2006/relationships/image" Target="../media/image19.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18.svg"/><Relationship Id="rId10" Type="http://schemas.openxmlformats.org/officeDocument/2006/relationships/image" Target="../media/image10.svg"/><Relationship Id="rId19" Type="http://schemas.openxmlformats.org/officeDocument/2006/relationships/chart" Target="../charts/chart2.xml"/><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 Id="rId22" Type="http://schemas.openxmlformats.org/officeDocument/2006/relationships/image" Target="../media/image17.png"/></Relationships>
</file>

<file path=xl/drawings/drawing1.xml><?xml version="1.0" encoding="utf-8"?>
<xdr:wsDr xmlns:xdr="http://schemas.openxmlformats.org/drawingml/2006/spreadsheetDrawing" xmlns:a="http://schemas.openxmlformats.org/drawingml/2006/main">
  <xdr:twoCellAnchor>
    <xdr:from>
      <xdr:col>0</xdr:col>
      <xdr:colOff>115748</xdr:colOff>
      <xdr:row>0</xdr:row>
      <xdr:rowOff>133591</xdr:rowOff>
    </xdr:from>
    <xdr:to>
      <xdr:col>22</xdr:col>
      <xdr:colOff>462989</xdr:colOff>
      <xdr:row>38</xdr:row>
      <xdr:rowOff>144683</xdr:rowOff>
    </xdr:to>
    <xdr:sp macro="" textlink="">
      <xdr:nvSpPr>
        <xdr:cNvPr id="2" name="Rectangle: Rounded Corners 1">
          <a:extLst>
            <a:ext uri="{FF2B5EF4-FFF2-40B4-BE49-F238E27FC236}">
              <a16:creationId xmlns:a16="http://schemas.microsoft.com/office/drawing/2014/main" id="{5D8C0878-9626-C2C6-5EB8-0A64FD6CDD6E}"/>
            </a:ext>
          </a:extLst>
        </xdr:cNvPr>
        <xdr:cNvSpPr/>
      </xdr:nvSpPr>
      <xdr:spPr>
        <a:xfrm>
          <a:off x="115748" y="133591"/>
          <a:ext cx="13716000" cy="6975193"/>
        </a:xfrm>
        <a:prstGeom prst="roundRect">
          <a:avLst>
            <a:gd name="adj" fmla="val 499"/>
          </a:avLst>
        </a:prstGeom>
        <a:solidFill>
          <a:sysClr val="window" lastClr="FFFFFF"/>
        </a:solidFill>
        <a:ln w="3175">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clientData/>
  </xdr:twoCellAnchor>
  <xdr:twoCellAnchor>
    <xdr:from>
      <xdr:col>0</xdr:col>
      <xdr:colOff>220980</xdr:colOff>
      <xdr:row>1</xdr:row>
      <xdr:rowOff>7620</xdr:rowOff>
    </xdr:from>
    <xdr:to>
      <xdr:col>2</xdr:col>
      <xdr:colOff>376980</xdr:colOff>
      <xdr:row>5</xdr:row>
      <xdr:rowOff>6900</xdr:rowOff>
    </xdr:to>
    <xdr:sp macro="" textlink="">
      <xdr:nvSpPr>
        <xdr:cNvPr id="3" name="Rectangle: Rounded Corners 2">
          <a:extLst>
            <a:ext uri="{FF2B5EF4-FFF2-40B4-BE49-F238E27FC236}">
              <a16:creationId xmlns:a16="http://schemas.microsoft.com/office/drawing/2014/main" id="{A2E5E1EA-C8A7-AFD5-CD27-5668DECF4B78}"/>
            </a:ext>
          </a:extLst>
        </xdr:cNvPr>
        <xdr:cNvSpPr/>
      </xdr:nvSpPr>
      <xdr:spPr>
        <a:xfrm>
          <a:off x="220980" y="190886"/>
          <a:ext cx="1371342" cy="732343"/>
        </a:xfrm>
        <a:prstGeom prst="roundRect">
          <a:avLst/>
        </a:prstGeom>
        <a:solidFill>
          <a:schemeClr val="tx2">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rgbClr val="FF0000"/>
            </a:solidFill>
            <a:latin typeface="+mn-lt"/>
            <a:ea typeface="+mn-ea"/>
            <a:cs typeface="+mn-cs"/>
          </a:endParaRPr>
        </a:p>
      </xdr:txBody>
    </xdr:sp>
    <xdr:clientData/>
  </xdr:twoCellAnchor>
  <xdr:twoCellAnchor>
    <xdr:from>
      <xdr:col>2</xdr:col>
      <xdr:colOff>426720</xdr:colOff>
      <xdr:row>1</xdr:row>
      <xdr:rowOff>15240</xdr:rowOff>
    </xdr:from>
    <xdr:to>
      <xdr:col>22</xdr:col>
      <xdr:colOff>385823</xdr:colOff>
      <xdr:row>5</xdr:row>
      <xdr:rowOff>14520</xdr:rowOff>
    </xdr:to>
    <xdr:sp macro="" textlink="">
      <xdr:nvSpPr>
        <xdr:cNvPr id="4" name="Rectangle: Rounded Corners 3">
          <a:extLst>
            <a:ext uri="{FF2B5EF4-FFF2-40B4-BE49-F238E27FC236}">
              <a16:creationId xmlns:a16="http://schemas.microsoft.com/office/drawing/2014/main" id="{27017D94-C419-4DBE-BA3D-2BC3DFAA6BF3}"/>
            </a:ext>
          </a:extLst>
        </xdr:cNvPr>
        <xdr:cNvSpPr/>
      </xdr:nvSpPr>
      <xdr:spPr>
        <a:xfrm>
          <a:off x="1642062" y="198506"/>
          <a:ext cx="12112520" cy="732343"/>
        </a:xfrm>
        <a:prstGeom prst="roundRect">
          <a:avLst/>
        </a:prstGeom>
        <a:solidFill>
          <a:schemeClr val="tx2">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rgbClr val="FF0000"/>
            </a:solidFill>
            <a:latin typeface="+mn-lt"/>
            <a:ea typeface="+mn-ea"/>
            <a:cs typeface="+mn-cs"/>
          </a:endParaRPr>
        </a:p>
      </xdr:txBody>
    </xdr:sp>
    <xdr:clientData/>
  </xdr:twoCellAnchor>
  <xdr:twoCellAnchor>
    <xdr:from>
      <xdr:col>2</xdr:col>
      <xdr:colOff>571500</xdr:colOff>
      <xdr:row>1</xdr:row>
      <xdr:rowOff>0</xdr:rowOff>
    </xdr:from>
    <xdr:to>
      <xdr:col>16</xdr:col>
      <xdr:colOff>115747</xdr:colOff>
      <xdr:row>4</xdr:row>
      <xdr:rowOff>114300</xdr:rowOff>
    </xdr:to>
    <xdr:sp macro="" textlink="">
      <xdr:nvSpPr>
        <xdr:cNvPr id="6" name="TextBox 5">
          <a:extLst>
            <a:ext uri="{FF2B5EF4-FFF2-40B4-BE49-F238E27FC236}">
              <a16:creationId xmlns:a16="http://schemas.microsoft.com/office/drawing/2014/main" id="{1E3C40EA-641C-18BD-8286-2460F4165335}"/>
            </a:ext>
          </a:extLst>
        </xdr:cNvPr>
        <xdr:cNvSpPr txBox="1"/>
      </xdr:nvSpPr>
      <xdr:spPr>
        <a:xfrm>
          <a:off x="1786842" y="183266"/>
          <a:ext cx="8051639" cy="664097"/>
        </a:xfrm>
        <a:prstGeom prst="rect">
          <a:avLst/>
        </a:prstGeom>
        <a:noFill/>
        <a:ln w="9525" cmpd="sng">
          <a:noFill/>
        </a:ln>
        <a:effectLst>
          <a:innerShdw blurRad="114300">
            <a:prstClr val="black"/>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4400" b="1">
              <a:solidFill>
                <a:schemeClr val="bg1">
                  <a:lumMod val="95000"/>
                </a:schemeClr>
              </a:solidFill>
              <a:effectLst>
                <a:outerShdw blurRad="50800" dist="38100" dir="5400000" algn="t" rotWithShape="0">
                  <a:prstClr val="black">
                    <a:alpha val="40000"/>
                  </a:prstClr>
                </a:outerShdw>
              </a:effectLst>
            </a:rPr>
            <a:t>FINANCE</a:t>
          </a:r>
          <a:r>
            <a:rPr lang="en-US" sz="4400" b="1" baseline="0">
              <a:solidFill>
                <a:schemeClr val="bg1">
                  <a:lumMod val="95000"/>
                </a:schemeClr>
              </a:solidFill>
              <a:effectLst>
                <a:outerShdw blurRad="50800" dist="38100" dir="5400000" algn="t" rotWithShape="0">
                  <a:prstClr val="black">
                    <a:alpha val="40000"/>
                  </a:prstClr>
                </a:outerShdw>
              </a:effectLst>
            </a:rPr>
            <a:t> EXPENSES DASHBOARD</a:t>
          </a:r>
          <a:endParaRPr lang="en-US" sz="4400" b="1">
            <a:solidFill>
              <a:schemeClr val="bg1">
                <a:lumMod val="95000"/>
              </a:schemeClr>
            </a:solidFill>
            <a:effectLst>
              <a:outerShdw blurRad="50800" dist="38100" dir="5400000" algn="t" rotWithShape="0">
                <a:prstClr val="black">
                  <a:alpha val="40000"/>
                </a:prstClr>
              </a:outerShdw>
            </a:effectLst>
          </a:endParaRPr>
        </a:p>
      </xdr:txBody>
    </xdr:sp>
    <xdr:clientData/>
  </xdr:twoCellAnchor>
  <xdr:twoCellAnchor>
    <xdr:from>
      <xdr:col>0</xdr:col>
      <xdr:colOff>201689</xdr:colOff>
      <xdr:row>5</xdr:row>
      <xdr:rowOff>47264</xdr:rowOff>
    </xdr:from>
    <xdr:to>
      <xdr:col>2</xdr:col>
      <xdr:colOff>357689</xdr:colOff>
      <xdr:row>38</xdr:row>
      <xdr:rowOff>96456</xdr:rowOff>
    </xdr:to>
    <xdr:sp macro="" textlink="">
      <xdr:nvSpPr>
        <xdr:cNvPr id="7" name="Rectangle: Rounded Corners 6">
          <a:extLst>
            <a:ext uri="{FF2B5EF4-FFF2-40B4-BE49-F238E27FC236}">
              <a16:creationId xmlns:a16="http://schemas.microsoft.com/office/drawing/2014/main" id="{E5CA3467-9D74-44A5-9B73-028DE89BAD3A}"/>
            </a:ext>
          </a:extLst>
        </xdr:cNvPr>
        <xdr:cNvSpPr/>
      </xdr:nvSpPr>
      <xdr:spPr>
        <a:xfrm>
          <a:off x="201689" y="963593"/>
          <a:ext cx="1371342" cy="6096964"/>
        </a:xfrm>
        <a:prstGeom prst="roundRect">
          <a:avLst>
            <a:gd name="adj" fmla="val 5031"/>
          </a:avLst>
        </a:prstGeom>
        <a:solidFill>
          <a:schemeClr val="tx2">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rgbClr val="FF0000"/>
            </a:solidFill>
            <a:latin typeface="+mn-lt"/>
            <a:ea typeface="+mn-ea"/>
            <a:cs typeface="+mn-cs"/>
          </a:endParaRPr>
        </a:p>
      </xdr:txBody>
    </xdr:sp>
    <xdr:clientData/>
  </xdr:twoCellAnchor>
  <xdr:twoCellAnchor>
    <xdr:from>
      <xdr:col>2</xdr:col>
      <xdr:colOff>434340</xdr:colOff>
      <xdr:row>5</xdr:row>
      <xdr:rowOff>59435</xdr:rowOff>
    </xdr:from>
    <xdr:to>
      <xdr:col>5</xdr:col>
      <xdr:colOff>290340</xdr:colOff>
      <xdr:row>9</xdr:row>
      <xdr:rowOff>119915</xdr:rowOff>
    </xdr:to>
    <xdr:sp macro="" textlink="">
      <xdr:nvSpPr>
        <xdr:cNvPr id="8" name="Rectangle: Rounded Corners 7">
          <a:extLst>
            <a:ext uri="{FF2B5EF4-FFF2-40B4-BE49-F238E27FC236}">
              <a16:creationId xmlns:a16="http://schemas.microsoft.com/office/drawing/2014/main" id="{A3539055-5D3A-42ED-B751-33630C6C355D}"/>
            </a:ext>
          </a:extLst>
        </xdr:cNvPr>
        <xdr:cNvSpPr/>
      </xdr:nvSpPr>
      <xdr:spPr>
        <a:xfrm>
          <a:off x="1649682" y="975764"/>
          <a:ext cx="1679012" cy="793543"/>
        </a:xfrm>
        <a:prstGeom prst="roundRect">
          <a:avLst/>
        </a:prstGeom>
        <a:solidFill>
          <a:schemeClr val="tx2">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rgbClr val="FF0000"/>
            </a:solidFill>
            <a:latin typeface="+mn-lt"/>
            <a:ea typeface="+mn-ea"/>
            <a:cs typeface="+mn-cs"/>
          </a:endParaRPr>
        </a:p>
      </xdr:txBody>
    </xdr:sp>
    <xdr:clientData/>
  </xdr:twoCellAnchor>
  <xdr:twoCellAnchor>
    <xdr:from>
      <xdr:col>5</xdr:col>
      <xdr:colOff>350054</xdr:colOff>
      <xdr:row>5</xdr:row>
      <xdr:rowOff>59435</xdr:rowOff>
    </xdr:from>
    <xdr:to>
      <xdr:col>8</xdr:col>
      <xdr:colOff>206054</xdr:colOff>
      <xdr:row>9</xdr:row>
      <xdr:rowOff>119915</xdr:rowOff>
    </xdr:to>
    <xdr:sp macro="" textlink="">
      <xdr:nvSpPr>
        <xdr:cNvPr id="10" name="Rectangle: Rounded Corners 9">
          <a:extLst>
            <a:ext uri="{FF2B5EF4-FFF2-40B4-BE49-F238E27FC236}">
              <a16:creationId xmlns:a16="http://schemas.microsoft.com/office/drawing/2014/main" id="{A4A0E9CA-C403-4626-A636-B6ABE98F6FA4}"/>
            </a:ext>
          </a:extLst>
        </xdr:cNvPr>
        <xdr:cNvSpPr/>
      </xdr:nvSpPr>
      <xdr:spPr>
        <a:xfrm>
          <a:off x="3388408" y="975764"/>
          <a:ext cx="1679013" cy="793543"/>
        </a:xfrm>
        <a:prstGeom prst="roundRect">
          <a:avLst/>
        </a:prstGeom>
        <a:solidFill>
          <a:schemeClr val="tx2">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rgbClr val="FF0000"/>
            </a:solidFill>
            <a:latin typeface="+mn-lt"/>
            <a:ea typeface="+mn-ea"/>
            <a:cs typeface="+mn-cs"/>
          </a:endParaRPr>
        </a:p>
      </xdr:txBody>
    </xdr:sp>
    <xdr:clientData/>
  </xdr:twoCellAnchor>
  <xdr:twoCellAnchor>
    <xdr:from>
      <xdr:col>8</xdr:col>
      <xdr:colOff>265768</xdr:colOff>
      <xdr:row>5</xdr:row>
      <xdr:rowOff>59435</xdr:rowOff>
    </xdr:from>
    <xdr:to>
      <xdr:col>11</xdr:col>
      <xdr:colOff>121768</xdr:colOff>
      <xdr:row>9</xdr:row>
      <xdr:rowOff>119915</xdr:rowOff>
    </xdr:to>
    <xdr:sp macro="" textlink="">
      <xdr:nvSpPr>
        <xdr:cNvPr id="11" name="Rectangle: Rounded Corners 10">
          <a:extLst>
            <a:ext uri="{FF2B5EF4-FFF2-40B4-BE49-F238E27FC236}">
              <a16:creationId xmlns:a16="http://schemas.microsoft.com/office/drawing/2014/main" id="{C9F2AC33-58DF-4391-BE71-E6A1B4B472D9}"/>
            </a:ext>
          </a:extLst>
        </xdr:cNvPr>
        <xdr:cNvSpPr/>
      </xdr:nvSpPr>
      <xdr:spPr>
        <a:xfrm>
          <a:off x="5127135" y="975764"/>
          <a:ext cx="1679013" cy="793543"/>
        </a:xfrm>
        <a:prstGeom prst="roundRect">
          <a:avLst/>
        </a:prstGeom>
        <a:solidFill>
          <a:schemeClr val="tx2">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rgbClr val="FF0000"/>
            </a:solidFill>
            <a:latin typeface="+mn-lt"/>
            <a:ea typeface="+mn-ea"/>
            <a:cs typeface="+mn-cs"/>
          </a:endParaRPr>
        </a:p>
      </xdr:txBody>
    </xdr:sp>
    <xdr:clientData/>
  </xdr:twoCellAnchor>
  <xdr:twoCellAnchor>
    <xdr:from>
      <xdr:col>11</xdr:col>
      <xdr:colOff>181482</xdr:colOff>
      <xdr:row>5</xdr:row>
      <xdr:rowOff>59435</xdr:rowOff>
    </xdr:from>
    <xdr:to>
      <xdr:col>14</xdr:col>
      <xdr:colOff>37482</xdr:colOff>
      <xdr:row>9</xdr:row>
      <xdr:rowOff>119915</xdr:rowOff>
    </xdr:to>
    <xdr:sp macro="" textlink="">
      <xdr:nvSpPr>
        <xdr:cNvPr id="12" name="Rectangle: Rounded Corners 11">
          <a:extLst>
            <a:ext uri="{FF2B5EF4-FFF2-40B4-BE49-F238E27FC236}">
              <a16:creationId xmlns:a16="http://schemas.microsoft.com/office/drawing/2014/main" id="{312B9133-C809-47CB-9CF6-BFDB5AF694BA}"/>
            </a:ext>
          </a:extLst>
        </xdr:cNvPr>
        <xdr:cNvSpPr/>
      </xdr:nvSpPr>
      <xdr:spPr>
        <a:xfrm>
          <a:off x="6865862" y="975764"/>
          <a:ext cx="1679012" cy="793543"/>
        </a:xfrm>
        <a:prstGeom prst="roundRect">
          <a:avLst/>
        </a:prstGeom>
        <a:solidFill>
          <a:schemeClr val="tx2">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rgbClr val="FF0000"/>
            </a:solidFill>
            <a:latin typeface="+mn-lt"/>
            <a:ea typeface="+mn-ea"/>
            <a:cs typeface="+mn-cs"/>
          </a:endParaRPr>
        </a:p>
      </xdr:txBody>
    </xdr:sp>
    <xdr:clientData/>
  </xdr:twoCellAnchor>
  <xdr:twoCellAnchor>
    <xdr:from>
      <xdr:col>14</xdr:col>
      <xdr:colOff>97196</xdr:colOff>
      <xdr:row>5</xdr:row>
      <xdr:rowOff>59435</xdr:rowOff>
    </xdr:from>
    <xdr:to>
      <xdr:col>16</xdr:col>
      <xdr:colOff>562796</xdr:colOff>
      <xdr:row>9</xdr:row>
      <xdr:rowOff>119915</xdr:rowOff>
    </xdr:to>
    <xdr:sp macro="" textlink="">
      <xdr:nvSpPr>
        <xdr:cNvPr id="13" name="Rectangle: Rounded Corners 12">
          <a:extLst>
            <a:ext uri="{FF2B5EF4-FFF2-40B4-BE49-F238E27FC236}">
              <a16:creationId xmlns:a16="http://schemas.microsoft.com/office/drawing/2014/main" id="{19E91D24-5869-418C-91D2-4A05F15F4F26}"/>
            </a:ext>
          </a:extLst>
        </xdr:cNvPr>
        <xdr:cNvSpPr/>
      </xdr:nvSpPr>
      <xdr:spPr>
        <a:xfrm>
          <a:off x="8604588" y="975764"/>
          <a:ext cx="1680942" cy="793543"/>
        </a:xfrm>
        <a:prstGeom prst="roundRect">
          <a:avLst/>
        </a:prstGeom>
        <a:solidFill>
          <a:schemeClr val="tx2">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rgbClr val="FF0000"/>
            </a:solidFill>
            <a:latin typeface="+mn-lt"/>
            <a:ea typeface="+mn-ea"/>
            <a:cs typeface="+mn-cs"/>
          </a:endParaRPr>
        </a:p>
      </xdr:txBody>
    </xdr:sp>
    <xdr:clientData/>
  </xdr:twoCellAnchor>
  <xdr:twoCellAnchor>
    <xdr:from>
      <xdr:col>17</xdr:col>
      <xdr:colOff>14839</xdr:colOff>
      <xdr:row>5</xdr:row>
      <xdr:rowOff>59435</xdr:rowOff>
    </xdr:from>
    <xdr:to>
      <xdr:col>19</xdr:col>
      <xdr:colOff>480439</xdr:colOff>
      <xdr:row>9</xdr:row>
      <xdr:rowOff>119915</xdr:rowOff>
    </xdr:to>
    <xdr:sp macro="" textlink="">
      <xdr:nvSpPr>
        <xdr:cNvPr id="14" name="Rectangle: Rounded Corners 13">
          <a:extLst>
            <a:ext uri="{FF2B5EF4-FFF2-40B4-BE49-F238E27FC236}">
              <a16:creationId xmlns:a16="http://schemas.microsoft.com/office/drawing/2014/main" id="{C8B801F4-507F-492A-90A7-2B816A4C1760}"/>
            </a:ext>
          </a:extLst>
        </xdr:cNvPr>
        <xdr:cNvSpPr/>
      </xdr:nvSpPr>
      <xdr:spPr>
        <a:xfrm>
          <a:off x="10345244" y="975764"/>
          <a:ext cx="1680942" cy="793543"/>
        </a:xfrm>
        <a:prstGeom prst="roundRect">
          <a:avLst/>
        </a:prstGeom>
        <a:solidFill>
          <a:schemeClr val="tx2">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rgbClr val="FF0000"/>
            </a:solidFill>
            <a:latin typeface="+mn-lt"/>
            <a:ea typeface="+mn-ea"/>
            <a:cs typeface="+mn-cs"/>
          </a:endParaRPr>
        </a:p>
      </xdr:txBody>
    </xdr:sp>
    <xdr:clientData/>
  </xdr:twoCellAnchor>
  <xdr:twoCellAnchor>
    <xdr:from>
      <xdr:col>2</xdr:col>
      <xdr:colOff>447555</xdr:colOff>
      <xdr:row>10</xdr:row>
      <xdr:rowOff>26960</xdr:rowOff>
    </xdr:from>
    <xdr:to>
      <xdr:col>8</xdr:col>
      <xdr:colOff>96456</xdr:colOff>
      <xdr:row>24</xdr:row>
      <xdr:rowOff>135037</xdr:rowOff>
    </xdr:to>
    <xdr:sp macro="" textlink="">
      <xdr:nvSpPr>
        <xdr:cNvPr id="15" name="Rectangle: Rounded Corners 14">
          <a:extLst>
            <a:ext uri="{FF2B5EF4-FFF2-40B4-BE49-F238E27FC236}">
              <a16:creationId xmlns:a16="http://schemas.microsoft.com/office/drawing/2014/main" id="{31D968AE-C157-4F5F-871F-E0E2EF15A6E4}"/>
            </a:ext>
          </a:extLst>
        </xdr:cNvPr>
        <xdr:cNvSpPr/>
      </xdr:nvSpPr>
      <xdr:spPr>
        <a:xfrm>
          <a:off x="1662897" y="1859618"/>
          <a:ext cx="3294926" cy="2673799"/>
        </a:xfrm>
        <a:prstGeom prst="roundRect">
          <a:avLst>
            <a:gd name="adj" fmla="val 2621"/>
          </a:avLst>
        </a:prstGeom>
        <a:solidFill>
          <a:schemeClr val="tx2">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rgbClr val="FF0000"/>
            </a:solidFill>
            <a:latin typeface="+mn-lt"/>
            <a:ea typeface="+mn-ea"/>
            <a:cs typeface="+mn-cs"/>
          </a:endParaRPr>
        </a:p>
      </xdr:txBody>
    </xdr:sp>
    <xdr:clientData/>
  </xdr:twoCellAnchor>
  <xdr:twoCellAnchor>
    <xdr:from>
      <xdr:col>8</xdr:col>
      <xdr:colOff>173621</xdr:colOff>
      <xdr:row>10</xdr:row>
      <xdr:rowOff>26960</xdr:rowOff>
    </xdr:from>
    <xdr:to>
      <xdr:col>16</xdr:col>
      <xdr:colOff>308658</xdr:colOff>
      <xdr:row>24</xdr:row>
      <xdr:rowOff>28935</xdr:rowOff>
    </xdr:to>
    <xdr:sp macro="" textlink="">
      <xdr:nvSpPr>
        <xdr:cNvPr id="16" name="Rectangle: Rounded Corners 15">
          <a:extLst>
            <a:ext uri="{FF2B5EF4-FFF2-40B4-BE49-F238E27FC236}">
              <a16:creationId xmlns:a16="http://schemas.microsoft.com/office/drawing/2014/main" id="{B858D171-DEE7-4EF9-A037-6C241E4864BB}"/>
            </a:ext>
          </a:extLst>
        </xdr:cNvPr>
        <xdr:cNvSpPr/>
      </xdr:nvSpPr>
      <xdr:spPr>
        <a:xfrm>
          <a:off x="5034988" y="1859618"/>
          <a:ext cx="4996404" cy="2567697"/>
        </a:xfrm>
        <a:prstGeom prst="roundRect">
          <a:avLst>
            <a:gd name="adj" fmla="val 2507"/>
          </a:avLst>
        </a:prstGeom>
        <a:solidFill>
          <a:schemeClr val="tx2">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rgbClr val="FF0000"/>
            </a:solidFill>
            <a:latin typeface="+mn-lt"/>
            <a:ea typeface="+mn-ea"/>
            <a:cs typeface="+mn-cs"/>
          </a:endParaRPr>
        </a:p>
      </xdr:txBody>
    </xdr:sp>
    <xdr:clientData/>
  </xdr:twoCellAnchor>
  <xdr:twoCellAnchor>
    <xdr:from>
      <xdr:col>16</xdr:col>
      <xdr:colOff>371933</xdr:colOff>
      <xdr:row>10</xdr:row>
      <xdr:rowOff>26961</xdr:rowOff>
    </xdr:from>
    <xdr:to>
      <xdr:col>22</xdr:col>
      <xdr:colOff>395469</xdr:colOff>
      <xdr:row>38</xdr:row>
      <xdr:rowOff>106102</xdr:rowOff>
    </xdr:to>
    <xdr:sp macro="" textlink="">
      <xdr:nvSpPr>
        <xdr:cNvPr id="17" name="Rectangle: Rounded Corners 16">
          <a:extLst>
            <a:ext uri="{FF2B5EF4-FFF2-40B4-BE49-F238E27FC236}">
              <a16:creationId xmlns:a16="http://schemas.microsoft.com/office/drawing/2014/main" id="{2367D2EF-ADE1-46A0-87B8-9F0B22268772}"/>
            </a:ext>
          </a:extLst>
        </xdr:cNvPr>
        <xdr:cNvSpPr/>
      </xdr:nvSpPr>
      <xdr:spPr>
        <a:xfrm>
          <a:off x="10094667" y="1859619"/>
          <a:ext cx="3669561" cy="5210584"/>
        </a:xfrm>
        <a:prstGeom prst="roundRect">
          <a:avLst>
            <a:gd name="adj" fmla="val 2673"/>
          </a:avLst>
        </a:prstGeom>
        <a:solidFill>
          <a:schemeClr val="tx2">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rgbClr val="FF0000"/>
            </a:solidFill>
            <a:latin typeface="+mn-lt"/>
            <a:ea typeface="+mn-ea"/>
            <a:cs typeface="+mn-cs"/>
          </a:endParaRPr>
        </a:p>
      </xdr:txBody>
    </xdr:sp>
    <xdr:clientData/>
  </xdr:twoCellAnchor>
  <xdr:twoCellAnchor>
    <xdr:from>
      <xdr:col>2</xdr:col>
      <xdr:colOff>449580</xdr:colOff>
      <xdr:row>25</xdr:row>
      <xdr:rowOff>0</xdr:rowOff>
    </xdr:from>
    <xdr:to>
      <xdr:col>8</xdr:col>
      <xdr:colOff>106101</xdr:colOff>
      <xdr:row>38</xdr:row>
      <xdr:rowOff>84828</xdr:rowOff>
    </xdr:to>
    <xdr:sp macro="" textlink="">
      <xdr:nvSpPr>
        <xdr:cNvPr id="18" name="Rectangle: Rounded Corners 17">
          <a:extLst>
            <a:ext uri="{FF2B5EF4-FFF2-40B4-BE49-F238E27FC236}">
              <a16:creationId xmlns:a16="http://schemas.microsoft.com/office/drawing/2014/main" id="{65FAB07C-9D6C-41C8-8930-0D0B392C6FC5}"/>
            </a:ext>
          </a:extLst>
        </xdr:cNvPr>
        <xdr:cNvSpPr/>
      </xdr:nvSpPr>
      <xdr:spPr>
        <a:xfrm>
          <a:off x="1664922" y="4581646"/>
          <a:ext cx="3302546" cy="2467283"/>
        </a:xfrm>
        <a:prstGeom prst="roundRect">
          <a:avLst>
            <a:gd name="adj" fmla="val 2621"/>
          </a:avLst>
        </a:prstGeom>
        <a:solidFill>
          <a:schemeClr val="tx2">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rgbClr val="FF0000"/>
            </a:solidFill>
            <a:latin typeface="+mn-lt"/>
            <a:ea typeface="+mn-ea"/>
            <a:cs typeface="+mn-cs"/>
          </a:endParaRPr>
        </a:p>
      </xdr:txBody>
    </xdr:sp>
    <xdr:clientData/>
  </xdr:twoCellAnchor>
  <xdr:twoCellAnchor>
    <xdr:from>
      <xdr:col>8</xdr:col>
      <xdr:colOff>163975</xdr:colOff>
      <xdr:row>24</xdr:row>
      <xdr:rowOff>100121</xdr:rowOff>
    </xdr:from>
    <xdr:to>
      <xdr:col>16</xdr:col>
      <xdr:colOff>299013</xdr:colOff>
      <xdr:row>38</xdr:row>
      <xdr:rowOff>106102</xdr:rowOff>
    </xdr:to>
    <xdr:sp macro="" textlink="">
      <xdr:nvSpPr>
        <xdr:cNvPr id="19" name="Rectangle: Rounded Corners 18">
          <a:extLst>
            <a:ext uri="{FF2B5EF4-FFF2-40B4-BE49-F238E27FC236}">
              <a16:creationId xmlns:a16="http://schemas.microsoft.com/office/drawing/2014/main" id="{5DB90AFC-551D-4A5F-ABEB-8F4CCB7765E5}"/>
            </a:ext>
          </a:extLst>
        </xdr:cNvPr>
        <xdr:cNvSpPr/>
      </xdr:nvSpPr>
      <xdr:spPr>
        <a:xfrm>
          <a:off x="5025342" y="4498501"/>
          <a:ext cx="4996405" cy="2571702"/>
        </a:xfrm>
        <a:prstGeom prst="roundRect">
          <a:avLst>
            <a:gd name="adj" fmla="val 2621"/>
          </a:avLst>
        </a:prstGeom>
        <a:solidFill>
          <a:schemeClr val="tx2">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rgbClr val="FF0000"/>
            </a:solidFill>
            <a:latin typeface="+mn-lt"/>
            <a:ea typeface="+mn-ea"/>
            <a:cs typeface="+mn-cs"/>
          </a:endParaRPr>
        </a:p>
      </xdr:txBody>
    </xdr:sp>
    <xdr:clientData/>
  </xdr:twoCellAnchor>
  <xdr:twoCellAnchor editAs="oneCell">
    <xdr:from>
      <xdr:col>0</xdr:col>
      <xdr:colOff>443696</xdr:colOff>
      <xdr:row>1</xdr:row>
      <xdr:rowOff>0</xdr:rowOff>
    </xdr:from>
    <xdr:to>
      <xdr:col>2</xdr:col>
      <xdr:colOff>142754</xdr:colOff>
      <xdr:row>4</xdr:row>
      <xdr:rowOff>19291</xdr:rowOff>
    </xdr:to>
    <xdr:pic>
      <xdr:nvPicPr>
        <xdr:cNvPr id="21" name="Graphic 20" descr="Van outline">
          <a:extLst>
            <a:ext uri="{FF2B5EF4-FFF2-40B4-BE49-F238E27FC236}">
              <a16:creationId xmlns:a16="http://schemas.microsoft.com/office/drawing/2014/main" id="{A6915FAA-CEA9-2240-5771-88E2E167427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443696" y="183266"/>
          <a:ext cx="914400" cy="569088"/>
        </a:xfrm>
        <a:prstGeom prst="rect">
          <a:avLst/>
        </a:prstGeom>
      </xdr:spPr>
    </xdr:pic>
    <xdr:clientData/>
  </xdr:twoCellAnchor>
  <xdr:twoCellAnchor>
    <xdr:from>
      <xdr:col>0</xdr:col>
      <xdr:colOff>434050</xdr:colOff>
      <xdr:row>3</xdr:row>
      <xdr:rowOff>115748</xdr:rowOff>
    </xdr:from>
    <xdr:to>
      <xdr:col>2</xdr:col>
      <xdr:colOff>144683</xdr:colOff>
      <xdr:row>5</xdr:row>
      <xdr:rowOff>28937</xdr:rowOff>
    </xdr:to>
    <xdr:sp macro="" textlink="">
      <xdr:nvSpPr>
        <xdr:cNvPr id="22" name="TextBox 21">
          <a:extLst>
            <a:ext uri="{FF2B5EF4-FFF2-40B4-BE49-F238E27FC236}">
              <a16:creationId xmlns:a16="http://schemas.microsoft.com/office/drawing/2014/main" id="{4D4DD0C5-A072-3BB6-296E-A431AA4AF36F}"/>
            </a:ext>
          </a:extLst>
        </xdr:cNvPr>
        <xdr:cNvSpPr txBox="1"/>
      </xdr:nvSpPr>
      <xdr:spPr>
        <a:xfrm>
          <a:off x="434050" y="665545"/>
          <a:ext cx="925975" cy="2797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lumMod val="95000"/>
                </a:schemeClr>
              </a:solidFill>
            </a:rPr>
            <a:t>John R Potts</a:t>
          </a:r>
        </a:p>
      </xdr:txBody>
    </xdr:sp>
    <xdr:clientData/>
  </xdr:twoCellAnchor>
  <xdr:twoCellAnchor editAs="oneCell">
    <xdr:from>
      <xdr:col>2</xdr:col>
      <xdr:colOff>482278</xdr:colOff>
      <xdr:row>5</xdr:row>
      <xdr:rowOff>48228</xdr:rowOff>
    </xdr:from>
    <xdr:to>
      <xdr:col>3</xdr:col>
      <xdr:colOff>596095</xdr:colOff>
      <xdr:row>9</xdr:row>
      <xdr:rowOff>61007</xdr:rowOff>
    </xdr:to>
    <xdr:pic>
      <xdr:nvPicPr>
        <xdr:cNvPr id="24" name="Graphic 23" descr="Home outline">
          <a:extLst>
            <a:ext uri="{FF2B5EF4-FFF2-40B4-BE49-F238E27FC236}">
              <a16:creationId xmlns:a16="http://schemas.microsoft.com/office/drawing/2014/main" id="{DE4D1649-8087-33CE-20EB-CFD0A5DF4611}"/>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697620" y="964557"/>
          <a:ext cx="721488" cy="745842"/>
        </a:xfrm>
        <a:prstGeom prst="rect">
          <a:avLst/>
        </a:prstGeom>
      </xdr:spPr>
    </xdr:pic>
    <xdr:clientData/>
  </xdr:twoCellAnchor>
  <xdr:twoCellAnchor editAs="oneCell">
    <xdr:from>
      <xdr:col>8</xdr:col>
      <xdr:colOff>347240</xdr:colOff>
      <xdr:row>5</xdr:row>
      <xdr:rowOff>154330</xdr:rowOff>
    </xdr:from>
    <xdr:to>
      <xdr:col>9</xdr:col>
      <xdr:colOff>530506</xdr:colOff>
      <xdr:row>9</xdr:row>
      <xdr:rowOff>77166</xdr:rowOff>
    </xdr:to>
    <xdr:pic>
      <xdr:nvPicPr>
        <xdr:cNvPr id="30" name="Graphic 29" descr="Convertible outline">
          <a:extLst>
            <a:ext uri="{FF2B5EF4-FFF2-40B4-BE49-F238E27FC236}">
              <a16:creationId xmlns:a16="http://schemas.microsoft.com/office/drawing/2014/main" id="{7B354728-80F0-D821-F939-356ED1C5D84D}"/>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5208607" y="1070659"/>
          <a:ext cx="790937" cy="655899"/>
        </a:xfrm>
        <a:prstGeom prst="rect">
          <a:avLst/>
        </a:prstGeom>
      </xdr:spPr>
    </xdr:pic>
    <xdr:clientData/>
  </xdr:twoCellAnchor>
  <xdr:twoCellAnchor editAs="oneCell">
    <xdr:from>
      <xdr:col>11</xdr:col>
      <xdr:colOff>183265</xdr:colOff>
      <xdr:row>5</xdr:row>
      <xdr:rowOff>96456</xdr:rowOff>
    </xdr:from>
    <xdr:to>
      <xdr:col>12</xdr:col>
      <xdr:colOff>412829</xdr:colOff>
      <xdr:row>9</xdr:row>
      <xdr:rowOff>106102</xdr:rowOff>
    </xdr:to>
    <xdr:pic>
      <xdr:nvPicPr>
        <xdr:cNvPr id="32" name="Graphic 31" descr="Table and chairs outline">
          <a:extLst>
            <a:ext uri="{FF2B5EF4-FFF2-40B4-BE49-F238E27FC236}">
              <a16:creationId xmlns:a16="http://schemas.microsoft.com/office/drawing/2014/main" id="{8F133223-DB3B-962C-5855-CBFB92D52552}"/>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6867645" y="1012785"/>
          <a:ext cx="837235" cy="742709"/>
        </a:xfrm>
        <a:prstGeom prst="rect">
          <a:avLst/>
        </a:prstGeom>
      </xdr:spPr>
    </xdr:pic>
    <xdr:clientData/>
  </xdr:twoCellAnchor>
  <xdr:twoCellAnchor editAs="oneCell">
    <xdr:from>
      <xdr:col>14</xdr:col>
      <xdr:colOff>192911</xdr:colOff>
      <xdr:row>5</xdr:row>
      <xdr:rowOff>86811</xdr:rowOff>
    </xdr:from>
    <xdr:to>
      <xdr:col>15</xdr:col>
      <xdr:colOff>306728</xdr:colOff>
      <xdr:row>9</xdr:row>
      <xdr:rowOff>75236</xdr:rowOff>
    </xdr:to>
    <xdr:pic>
      <xdr:nvPicPr>
        <xdr:cNvPr id="34" name="Graphic 33" descr="Philanthropy outline">
          <a:extLst>
            <a:ext uri="{FF2B5EF4-FFF2-40B4-BE49-F238E27FC236}">
              <a16:creationId xmlns:a16="http://schemas.microsoft.com/office/drawing/2014/main" id="{1BA065E8-AE7E-B734-BBAD-E220B3643999}"/>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8700303" y="1003140"/>
          <a:ext cx="721488" cy="721488"/>
        </a:xfrm>
        <a:prstGeom prst="rect">
          <a:avLst/>
        </a:prstGeom>
      </xdr:spPr>
    </xdr:pic>
    <xdr:clientData/>
  </xdr:twoCellAnchor>
  <xdr:twoCellAnchor>
    <xdr:from>
      <xdr:col>4</xdr:col>
      <xdr:colOff>0</xdr:colOff>
      <xdr:row>6</xdr:row>
      <xdr:rowOff>154328</xdr:rowOff>
    </xdr:from>
    <xdr:to>
      <xdr:col>5</xdr:col>
      <xdr:colOff>221849</xdr:colOff>
      <xdr:row>9</xdr:row>
      <xdr:rowOff>86810</xdr:rowOff>
    </xdr:to>
    <xdr:sp macro="" textlink="">
      <xdr:nvSpPr>
        <xdr:cNvPr id="37" name="TextBox 36">
          <a:extLst>
            <a:ext uri="{FF2B5EF4-FFF2-40B4-BE49-F238E27FC236}">
              <a16:creationId xmlns:a16="http://schemas.microsoft.com/office/drawing/2014/main" id="{78A08AA1-BEEA-421A-571D-A797192F2049}"/>
            </a:ext>
          </a:extLst>
        </xdr:cNvPr>
        <xdr:cNvSpPr txBox="1"/>
      </xdr:nvSpPr>
      <xdr:spPr>
        <a:xfrm>
          <a:off x="2430684" y="1253923"/>
          <a:ext cx="829519" cy="4822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0">
              <a:solidFill>
                <a:schemeClr val="bg1">
                  <a:lumMod val="95000"/>
                </a:schemeClr>
              </a:solidFill>
            </a:rPr>
            <a:t>Living</a:t>
          </a:r>
          <a:br>
            <a:rPr lang="en-US" sz="1200" b="0">
              <a:solidFill>
                <a:schemeClr val="bg1">
                  <a:lumMod val="95000"/>
                </a:schemeClr>
              </a:solidFill>
            </a:rPr>
          </a:br>
          <a:r>
            <a:rPr lang="en-US" sz="1200" b="0">
              <a:solidFill>
                <a:schemeClr val="bg1">
                  <a:lumMod val="95000"/>
                </a:schemeClr>
              </a:solidFill>
            </a:rPr>
            <a:t>Expenses</a:t>
          </a:r>
        </a:p>
      </xdr:txBody>
    </xdr:sp>
    <xdr:clientData/>
  </xdr:twoCellAnchor>
  <xdr:twoCellAnchor>
    <xdr:from>
      <xdr:col>6</xdr:col>
      <xdr:colOff>443697</xdr:colOff>
      <xdr:row>7</xdr:row>
      <xdr:rowOff>67518</xdr:rowOff>
    </xdr:from>
    <xdr:to>
      <xdr:col>8</xdr:col>
      <xdr:colOff>202557</xdr:colOff>
      <xdr:row>8</xdr:row>
      <xdr:rowOff>135037</xdr:rowOff>
    </xdr:to>
    <xdr:sp macro="" textlink="">
      <xdr:nvSpPr>
        <xdr:cNvPr id="46" name="TextBox 45">
          <a:extLst>
            <a:ext uri="{FF2B5EF4-FFF2-40B4-BE49-F238E27FC236}">
              <a16:creationId xmlns:a16="http://schemas.microsoft.com/office/drawing/2014/main" id="{9F84A832-395C-94C3-38F5-9EE09FA1FD6E}"/>
            </a:ext>
          </a:extLst>
        </xdr:cNvPr>
        <xdr:cNvSpPr txBox="1"/>
      </xdr:nvSpPr>
      <xdr:spPr>
        <a:xfrm>
          <a:off x="4089722" y="1350379"/>
          <a:ext cx="974202" cy="2507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aseline="0">
              <a:solidFill>
                <a:schemeClr val="bg1">
                  <a:lumMod val="95000"/>
                </a:schemeClr>
              </a:solidFill>
            </a:rPr>
            <a:t>Education</a:t>
          </a:r>
          <a:endParaRPr lang="en-US" sz="1300" baseline="0">
            <a:solidFill>
              <a:schemeClr val="bg1">
                <a:lumMod val="95000"/>
              </a:schemeClr>
            </a:solidFill>
          </a:endParaRPr>
        </a:p>
      </xdr:txBody>
    </xdr:sp>
    <xdr:clientData/>
  </xdr:twoCellAnchor>
  <xdr:twoCellAnchor>
    <xdr:from>
      <xdr:col>9</xdr:col>
      <xdr:colOff>462989</xdr:colOff>
      <xdr:row>7</xdr:row>
      <xdr:rowOff>77164</xdr:rowOff>
    </xdr:from>
    <xdr:to>
      <xdr:col>11</xdr:col>
      <xdr:colOff>86811</xdr:colOff>
      <xdr:row>8</xdr:row>
      <xdr:rowOff>163974</xdr:rowOff>
    </xdr:to>
    <xdr:sp macro="" textlink="">
      <xdr:nvSpPr>
        <xdr:cNvPr id="47" name="TextBox 46">
          <a:extLst>
            <a:ext uri="{FF2B5EF4-FFF2-40B4-BE49-F238E27FC236}">
              <a16:creationId xmlns:a16="http://schemas.microsoft.com/office/drawing/2014/main" id="{4302A557-281A-BB02-1F32-194F67F9AAD2}"/>
            </a:ext>
          </a:extLst>
        </xdr:cNvPr>
        <xdr:cNvSpPr txBox="1"/>
      </xdr:nvSpPr>
      <xdr:spPr>
        <a:xfrm>
          <a:off x="5932027" y="1360025"/>
          <a:ext cx="839164" cy="270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chemeClr val="bg1">
                  <a:lumMod val="95000"/>
                </a:schemeClr>
              </a:solidFill>
            </a:rPr>
            <a:t>Transport</a:t>
          </a:r>
          <a:endParaRPr lang="en-US" sz="1300">
            <a:solidFill>
              <a:schemeClr val="bg1">
                <a:lumMod val="95000"/>
              </a:schemeClr>
            </a:solidFill>
          </a:endParaRPr>
        </a:p>
      </xdr:txBody>
    </xdr:sp>
    <xdr:clientData/>
  </xdr:twoCellAnchor>
  <xdr:twoCellAnchor>
    <xdr:from>
      <xdr:col>12</xdr:col>
      <xdr:colOff>434050</xdr:colOff>
      <xdr:row>7</xdr:row>
      <xdr:rowOff>57873</xdr:rowOff>
    </xdr:from>
    <xdr:to>
      <xdr:col>13</xdr:col>
      <xdr:colOff>530506</xdr:colOff>
      <xdr:row>9</xdr:row>
      <xdr:rowOff>57874</xdr:rowOff>
    </xdr:to>
    <xdr:sp macro="" textlink="">
      <xdr:nvSpPr>
        <xdr:cNvPr id="48" name="TextBox 47">
          <a:extLst>
            <a:ext uri="{FF2B5EF4-FFF2-40B4-BE49-F238E27FC236}">
              <a16:creationId xmlns:a16="http://schemas.microsoft.com/office/drawing/2014/main" id="{474608B3-A0FC-9AEA-8A27-0C90056C9D04}"/>
            </a:ext>
          </a:extLst>
        </xdr:cNvPr>
        <xdr:cNvSpPr txBox="1"/>
      </xdr:nvSpPr>
      <xdr:spPr>
        <a:xfrm>
          <a:off x="7726101" y="1340734"/>
          <a:ext cx="704127" cy="3665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bg1">
                  <a:lumMod val="95000"/>
                </a:schemeClr>
              </a:solidFill>
            </a:rPr>
            <a:t>Food</a:t>
          </a:r>
          <a:endParaRPr lang="en-US" sz="1300">
            <a:solidFill>
              <a:schemeClr val="bg1">
                <a:lumMod val="95000"/>
              </a:schemeClr>
            </a:solidFill>
          </a:endParaRPr>
        </a:p>
      </xdr:txBody>
    </xdr:sp>
    <xdr:clientData/>
  </xdr:twoCellAnchor>
  <xdr:twoCellAnchor>
    <xdr:from>
      <xdr:col>15</xdr:col>
      <xdr:colOff>289367</xdr:colOff>
      <xdr:row>6</xdr:row>
      <xdr:rowOff>106102</xdr:rowOff>
    </xdr:from>
    <xdr:to>
      <xdr:col>16</xdr:col>
      <xdr:colOff>540152</xdr:colOff>
      <xdr:row>9</xdr:row>
      <xdr:rowOff>57875</xdr:rowOff>
    </xdr:to>
    <xdr:sp macro="" textlink="">
      <xdr:nvSpPr>
        <xdr:cNvPr id="49" name="TextBox 48">
          <a:extLst>
            <a:ext uri="{FF2B5EF4-FFF2-40B4-BE49-F238E27FC236}">
              <a16:creationId xmlns:a16="http://schemas.microsoft.com/office/drawing/2014/main" id="{DE4362D7-A6E9-CD08-91A1-DB83CF75F653}"/>
            </a:ext>
          </a:extLst>
        </xdr:cNvPr>
        <xdr:cNvSpPr txBox="1"/>
      </xdr:nvSpPr>
      <xdr:spPr>
        <a:xfrm>
          <a:off x="9404430" y="1205697"/>
          <a:ext cx="858456" cy="501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300">
              <a:solidFill>
                <a:schemeClr val="bg1">
                  <a:lumMod val="95000"/>
                </a:schemeClr>
              </a:solidFill>
            </a:rPr>
            <a:t>Debt</a:t>
          </a:r>
          <a:br>
            <a:rPr lang="en-US" sz="1300">
              <a:solidFill>
                <a:schemeClr val="bg1">
                  <a:lumMod val="95000"/>
                </a:schemeClr>
              </a:solidFill>
            </a:rPr>
          </a:br>
          <a:r>
            <a:rPr lang="en-US" sz="1300">
              <a:solidFill>
                <a:schemeClr val="bg1">
                  <a:lumMod val="95000"/>
                </a:schemeClr>
              </a:solidFill>
            </a:rPr>
            <a:t>Payments</a:t>
          </a:r>
        </a:p>
      </xdr:txBody>
    </xdr:sp>
    <xdr:clientData/>
  </xdr:twoCellAnchor>
  <xdr:twoCellAnchor editAs="oneCell">
    <xdr:from>
      <xdr:col>5</xdr:col>
      <xdr:colOff>376177</xdr:colOff>
      <xdr:row>5</xdr:row>
      <xdr:rowOff>154331</xdr:rowOff>
    </xdr:from>
    <xdr:to>
      <xdr:col>6</xdr:col>
      <xdr:colOff>501569</xdr:colOff>
      <xdr:row>9</xdr:row>
      <xdr:rowOff>77166</xdr:rowOff>
    </xdr:to>
    <xdr:pic>
      <xdr:nvPicPr>
        <xdr:cNvPr id="52" name="Graphic 51" descr="Graduation cap outline">
          <a:extLst>
            <a:ext uri="{FF2B5EF4-FFF2-40B4-BE49-F238E27FC236}">
              <a16:creationId xmlns:a16="http://schemas.microsoft.com/office/drawing/2014/main" id="{811CC5C2-58A6-B535-EE01-3F77833BE27B}"/>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3414531" y="1070660"/>
          <a:ext cx="733063" cy="655898"/>
        </a:xfrm>
        <a:prstGeom prst="rect">
          <a:avLst/>
        </a:prstGeom>
      </xdr:spPr>
    </xdr:pic>
    <xdr:clientData/>
  </xdr:twoCellAnchor>
  <xdr:twoCellAnchor>
    <xdr:from>
      <xdr:col>19</xdr:col>
      <xdr:colOff>540152</xdr:colOff>
      <xdr:row>5</xdr:row>
      <xdr:rowOff>59435</xdr:rowOff>
    </xdr:from>
    <xdr:to>
      <xdr:col>22</xdr:col>
      <xdr:colOff>398082</xdr:colOff>
      <xdr:row>9</xdr:row>
      <xdr:rowOff>119915</xdr:rowOff>
    </xdr:to>
    <xdr:sp macro="" textlink="">
      <xdr:nvSpPr>
        <xdr:cNvPr id="53" name="Rectangle: Rounded Corners 52">
          <a:extLst>
            <a:ext uri="{FF2B5EF4-FFF2-40B4-BE49-F238E27FC236}">
              <a16:creationId xmlns:a16="http://schemas.microsoft.com/office/drawing/2014/main" id="{6EEF8666-F664-4BBF-82A5-587FE7D9E601}"/>
            </a:ext>
          </a:extLst>
        </xdr:cNvPr>
        <xdr:cNvSpPr/>
      </xdr:nvSpPr>
      <xdr:spPr>
        <a:xfrm>
          <a:off x="12085899" y="975764"/>
          <a:ext cx="1680942" cy="793543"/>
        </a:xfrm>
        <a:prstGeom prst="roundRect">
          <a:avLst/>
        </a:prstGeom>
        <a:solidFill>
          <a:schemeClr val="tx2">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rgbClr val="FF0000"/>
            </a:solidFill>
            <a:latin typeface="+mn-lt"/>
            <a:ea typeface="+mn-ea"/>
            <a:cs typeface="+mn-cs"/>
          </a:endParaRPr>
        </a:p>
      </xdr:txBody>
    </xdr:sp>
    <xdr:clientData/>
  </xdr:twoCellAnchor>
  <xdr:twoCellAnchor>
    <xdr:from>
      <xdr:col>18</xdr:col>
      <xdr:colOff>57873</xdr:colOff>
      <xdr:row>6</xdr:row>
      <xdr:rowOff>163975</xdr:rowOff>
    </xdr:from>
    <xdr:to>
      <xdr:col>19</xdr:col>
      <xdr:colOff>472633</xdr:colOff>
      <xdr:row>9</xdr:row>
      <xdr:rowOff>135038</xdr:rowOff>
    </xdr:to>
    <xdr:sp macro="" textlink="">
      <xdr:nvSpPr>
        <xdr:cNvPr id="54" name="TextBox 53">
          <a:extLst>
            <a:ext uri="{FF2B5EF4-FFF2-40B4-BE49-F238E27FC236}">
              <a16:creationId xmlns:a16="http://schemas.microsoft.com/office/drawing/2014/main" id="{5F3FC8BD-756F-AC24-DD5A-B820D37142BF}"/>
            </a:ext>
          </a:extLst>
        </xdr:cNvPr>
        <xdr:cNvSpPr txBox="1"/>
      </xdr:nvSpPr>
      <xdr:spPr>
        <a:xfrm>
          <a:off x="10995949" y="1263570"/>
          <a:ext cx="1022431" cy="520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a:solidFill>
                <a:schemeClr val="bg1">
                  <a:lumMod val="95000"/>
                </a:schemeClr>
              </a:solidFill>
            </a:rPr>
            <a:t>Savings</a:t>
          </a:r>
          <a:r>
            <a:rPr lang="en-US" sz="1200" baseline="0">
              <a:solidFill>
                <a:schemeClr val="bg1">
                  <a:lumMod val="95000"/>
                </a:schemeClr>
              </a:solidFill>
            </a:rPr>
            <a:t> &amp;</a:t>
          </a:r>
          <a:br>
            <a:rPr lang="en-US" sz="1200">
              <a:solidFill>
                <a:schemeClr val="bg1">
                  <a:lumMod val="95000"/>
                </a:schemeClr>
              </a:solidFill>
            </a:rPr>
          </a:br>
          <a:r>
            <a:rPr lang="en-US" sz="1200">
              <a:solidFill>
                <a:schemeClr val="bg1">
                  <a:lumMod val="95000"/>
                </a:schemeClr>
              </a:solidFill>
            </a:rPr>
            <a:t>Investment</a:t>
          </a:r>
        </a:p>
      </xdr:txBody>
    </xdr:sp>
    <xdr:clientData/>
  </xdr:twoCellAnchor>
  <xdr:twoCellAnchor editAs="oneCell">
    <xdr:from>
      <xdr:col>17</xdr:col>
      <xdr:colOff>106101</xdr:colOff>
      <xdr:row>5</xdr:row>
      <xdr:rowOff>115747</xdr:rowOff>
    </xdr:from>
    <xdr:to>
      <xdr:col>18</xdr:col>
      <xdr:colOff>154330</xdr:colOff>
      <xdr:row>9</xdr:row>
      <xdr:rowOff>38584</xdr:rowOff>
    </xdr:to>
    <xdr:pic>
      <xdr:nvPicPr>
        <xdr:cNvPr id="56" name="Graphic 55" descr="Piggy Bank outline">
          <a:extLst>
            <a:ext uri="{FF2B5EF4-FFF2-40B4-BE49-F238E27FC236}">
              <a16:creationId xmlns:a16="http://schemas.microsoft.com/office/drawing/2014/main" id="{1AD0D855-D1AC-23BF-AB39-7B9B9DEE98D5}"/>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0436506" y="1032076"/>
          <a:ext cx="655900" cy="655900"/>
        </a:xfrm>
        <a:prstGeom prst="rect">
          <a:avLst/>
        </a:prstGeom>
      </xdr:spPr>
    </xdr:pic>
    <xdr:clientData/>
  </xdr:twoCellAnchor>
  <xdr:twoCellAnchor editAs="oneCell">
    <xdr:from>
      <xdr:col>19</xdr:col>
      <xdr:colOff>511214</xdr:colOff>
      <xdr:row>5</xdr:row>
      <xdr:rowOff>77163</xdr:rowOff>
    </xdr:from>
    <xdr:to>
      <xdr:col>21</xdr:col>
      <xdr:colOff>13031</xdr:colOff>
      <xdr:row>9</xdr:row>
      <xdr:rowOff>61259</xdr:rowOff>
    </xdr:to>
    <xdr:pic>
      <xdr:nvPicPr>
        <xdr:cNvPr id="58" name="Graphic 57" descr="Medical outline">
          <a:extLst>
            <a:ext uri="{FF2B5EF4-FFF2-40B4-BE49-F238E27FC236}">
              <a16:creationId xmlns:a16="http://schemas.microsoft.com/office/drawing/2014/main" id="{154365C4-240E-C642-EBA0-96393926D302}"/>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2056961" y="993492"/>
          <a:ext cx="717159" cy="717159"/>
        </a:xfrm>
        <a:prstGeom prst="rect">
          <a:avLst/>
        </a:prstGeom>
      </xdr:spPr>
    </xdr:pic>
    <xdr:clientData/>
  </xdr:twoCellAnchor>
  <xdr:twoCellAnchor>
    <xdr:from>
      <xdr:col>21</xdr:col>
      <xdr:colOff>48227</xdr:colOff>
      <xdr:row>7</xdr:row>
      <xdr:rowOff>86810</xdr:rowOff>
    </xdr:from>
    <xdr:to>
      <xdr:col>22</xdr:col>
      <xdr:colOff>376178</xdr:colOff>
      <xdr:row>8</xdr:row>
      <xdr:rowOff>125392</xdr:rowOff>
    </xdr:to>
    <xdr:sp macro="" textlink="">
      <xdr:nvSpPr>
        <xdr:cNvPr id="59" name="TextBox 58">
          <a:extLst>
            <a:ext uri="{FF2B5EF4-FFF2-40B4-BE49-F238E27FC236}">
              <a16:creationId xmlns:a16="http://schemas.microsoft.com/office/drawing/2014/main" id="{D0351273-FD95-3034-F535-D2D651F8B1FB}"/>
            </a:ext>
          </a:extLst>
        </xdr:cNvPr>
        <xdr:cNvSpPr txBox="1"/>
      </xdr:nvSpPr>
      <xdr:spPr>
        <a:xfrm>
          <a:off x="12809316" y="1369671"/>
          <a:ext cx="935621" cy="2218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chemeClr val="bg1">
                  <a:lumMod val="95000"/>
                </a:schemeClr>
              </a:solidFill>
            </a:rPr>
            <a:t>Healthcare</a:t>
          </a:r>
          <a:endParaRPr lang="en-US" sz="1300">
            <a:solidFill>
              <a:schemeClr val="bg1">
                <a:lumMod val="95000"/>
              </a:schemeClr>
            </a:solidFill>
          </a:endParaRPr>
        </a:p>
      </xdr:txBody>
    </xdr:sp>
    <xdr:clientData/>
  </xdr:twoCellAnchor>
  <xdr:twoCellAnchor>
    <xdr:from>
      <xdr:col>3</xdr:col>
      <xdr:colOff>579024</xdr:colOff>
      <xdr:row>5</xdr:row>
      <xdr:rowOff>19291</xdr:rowOff>
    </xdr:from>
    <xdr:to>
      <xdr:col>5</xdr:col>
      <xdr:colOff>193202</xdr:colOff>
      <xdr:row>6</xdr:row>
      <xdr:rowOff>156065</xdr:rowOff>
    </xdr:to>
    <xdr:sp macro="" textlink="PVT!C24">
      <xdr:nvSpPr>
        <xdr:cNvPr id="61" name="TextBox 60">
          <a:extLst>
            <a:ext uri="{FF2B5EF4-FFF2-40B4-BE49-F238E27FC236}">
              <a16:creationId xmlns:a16="http://schemas.microsoft.com/office/drawing/2014/main" id="{655396E0-5E46-4FD1-87FE-393AC5B5E303}"/>
            </a:ext>
          </a:extLst>
        </xdr:cNvPr>
        <xdr:cNvSpPr txBox="1"/>
      </xdr:nvSpPr>
      <xdr:spPr>
        <a:xfrm>
          <a:off x="2402037" y="935620"/>
          <a:ext cx="829519"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8D117E31-52E9-4A5D-A927-0967AC811519}" type="TxLink">
            <a:rPr lang="en-US" sz="1400" b="1" i="0" u="none" strike="noStrike">
              <a:solidFill>
                <a:schemeClr val="bg1">
                  <a:lumMod val="95000"/>
                </a:schemeClr>
              </a:solidFill>
              <a:latin typeface="Calibri"/>
              <a:ea typeface="Calibri"/>
              <a:cs typeface="Calibri"/>
            </a:rPr>
            <a:t> $15,257 </a:t>
          </a:fld>
          <a:endParaRPr lang="en-US" sz="1600" b="1">
            <a:solidFill>
              <a:schemeClr val="bg1">
                <a:lumMod val="95000"/>
              </a:schemeClr>
            </a:solidFill>
          </a:endParaRPr>
        </a:p>
      </xdr:txBody>
    </xdr:sp>
    <xdr:clientData/>
  </xdr:twoCellAnchor>
  <xdr:twoCellAnchor>
    <xdr:from>
      <xdr:col>6</xdr:col>
      <xdr:colOff>427218</xdr:colOff>
      <xdr:row>5</xdr:row>
      <xdr:rowOff>19291</xdr:rowOff>
    </xdr:from>
    <xdr:to>
      <xdr:col>8</xdr:col>
      <xdr:colOff>41395</xdr:colOff>
      <xdr:row>6</xdr:row>
      <xdr:rowOff>156065</xdr:rowOff>
    </xdr:to>
    <xdr:sp macro="" textlink="PVT!C26">
      <xdr:nvSpPr>
        <xdr:cNvPr id="62" name="TextBox 61">
          <a:extLst>
            <a:ext uri="{FF2B5EF4-FFF2-40B4-BE49-F238E27FC236}">
              <a16:creationId xmlns:a16="http://schemas.microsoft.com/office/drawing/2014/main" id="{7317785B-E345-4AF3-AA84-5813EDF44C62}"/>
            </a:ext>
          </a:extLst>
        </xdr:cNvPr>
        <xdr:cNvSpPr txBox="1"/>
      </xdr:nvSpPr>
      <xdr:spPr>
        <a:xfrm>
          <a:off x="4073243" y="935620"/>
          <a:ext cx="829519"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C8E9A3D5-44B5-49E9-A9FE-9F492FED09DB}" type="TxLink">
            <a:rPr lang="en-US" sz="1400" b="1" i="0" u="none" strike="noStrike">
              <a:solidFill>
                <a:schemeClr val="bg1">
                  <a:lumMod val="95000"/>
                </a:schemeClr>
              </a:solidFill>
              <a:latin typeface="Calibri"/>
              <a:ea typeface="Calibri"/>
              <a:cs typeface="Calibri"/>
            </a:rPr>
            <a:t> $10,102 </a:t>
          </a:fld>
          <a:endParaRPr lang="en-US" sz="1600" b="1">
            <a:solidFill>
              <a:schemeClr val="bg1">
                <a:lumMod val="95000"/>
              </a:schemeClr>
            </a:solidFill>
          </a:endParaRPr>
        </a:p>
      </xdr:txBody>
    </xdr:sp>
    <xdr:clientData/>
  </xdr:twoCellAnchor>
  <xdr:twoCellAnchor>
    <xdr:from>
      <xdr:col>9</xdr:col>
      <xdr:colOff>439389</xdr:colOff>
      <xdr:row>5</xdr:row>
      <xdr:rowOff>19291</xdr:rowOff>
    </xdr:from>
    <xdr:to>
      <xdr:col>11</xdr:col>
      <xdr:colOff>53566</xdr:colOff>
      <xdr:row>6</xdr:row>
      <xdr:rowOff>156065</xdr:rowOff>
    </xdr:to>
    <xdr:sp macro="" textlink="PVT!C25">
      <xdr:nvSpPr>
        <xdr:cNvPr id="63" name="TextBox 62">
          <a:extLst>
            <a:ext uri="{FF2B5EF4-FFF2-40B4-BE49-F238E27FC236}">
              <a16:creationId xmlns:a16="http://schemas.microsoft.com/office/drawing/2014/main" id="{430179CF-B3F7-4792-88B0-E254B7FFC344}"/>
            </a:ext>
          </a:extLst>
        </xdr:cNvPr>
        <xdr:cNvSpPr txBox="1"/>
      </xdr:nvSpPr>
      <xdr:spPr>
        <a:xfrm>
          <a:off x="5908427" y="935620"/>
          <a:ext cx="829519"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AA43E6C1-73C2-489E-8E4E-42A39C0FF18E}" type="TxLink">
            <a:rPr lang="en-US" sz="1400" b="1" i="0" u="none" strike="noStrike">
              <a:solidFill>
                <a:schemeClr val="bg1">
                  <a:lumMod val="95000"/>
                </a:schemeClr>
              </a:solidFill>
              <a:latin typeface="Calibri"/>
              <a:ea typeface="Calibri"/>
              <a:cs typeface="Calibri"/>
            </a:rPr>
            <a:t> $14,824 </a:t>
          </a:fld>
          <a:endParaRPr lang="en-US" sz="1600" b="1">
            <a:solidFill>
              <a:schemeClr val="bg1">
                <a:lumMod val="95000"/>
              </a:schemeClr>
            </a:solidFill>
          </a:endParaRPr>
        </a:p>
      </xdr:txBody>
    </xdr:sp>
    <xdr:clientData/>
  </xdr:twoCellAnchor>
  <xdr:twoCellAnchor>
    <xdr:from>
      <xdr:col>12</xdr:col>
      <xdr:colOff>326165</xdr:colOff>
      <xdr:row>5</xdr:row>
      <xdr:rowOff>19291</xdr:rowOff>
    </xdr:from>
    <xdr:to>
      <xdr:col>13</xdr:col>
      <xdr:colOff>548013</xdr:colOff>
      <xdr:row>6</xdr:row>
      <xdr:rowOff>156065</xdr:rowOff>
    </xdr:to>
    <xdr:sp macro="" textlink="PVT!C30">
      <xdr:nvSpPr>
        <xdr:cNvPr id="64" name="TextBox 63">
          <a:extLst>
            <a:ext uri="{FF2B5EF4-FFF2-40B4-BE49-F238E27FC236}">
              <a16:creationId xmlns:a16="http://schemas.microsoft.com/office/drawing/2014/main" id="{D5B66D77-2291-48BD-B95A-A01051B8FA5D}"/>
            </a:ext>
          </a:extLst>
        </xdr:cNvPr>
        <xdr:cNvSpPr txBox="1"/>
      </xdr:nvSpPr>
      <xdr:spPr>
        <a:xfrm>
          <a:off x="7618216" y="935620"/>
          <a:ext cx="829519"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DB57B69B-A85E-4890-9A2F-B46AFA3C04AC}" type="TxLink">
            <a:rPr lang="en-US" sz="1400" b="1" i="0" u="none" strike="noStrike">
              <a:solidFill>
                <a:schemeClr val="bg1">
                  <a:lumMod val="95000"/>
                </a:schemeClr>
              </a:solidFill>
              <a:latin typeface="Calibri"/>
              <a:ea typeface="Calibri"/>
              <a:cs typeface="Calibri"/>
            </a:rPr>
            <a:t> $7,121 </a:t>
          </a:fld>
          <a:endParaRPr lang="en-US" sz="1600" b="1">
            <a:solidFill>
              <a:schemeClr val="bg1">
                <a:lumMod val="95000"/>
              </a:schemeClr>
            </a:solidFill>
          </a:endParaRPr>
        </a:p>
      </xdr:txBody>
    </xdr:sp>
    <xdr:clientData/>
  </xdr:twoCellAnchor>
  <xdr:twoCellAnchor>
    <xdr:from>
      <xdr:col>15</xdr:col>
      <xdr:colOff>212943</xdr:colOff>
      <xdr:row>5</xdr:row>
      <xdr:rowOff>19291</xdr:rowOff>
    </xdr:from>
    <xdr:to>
      <xdr:col>16</xdr:col>
      <xdr:colOff>434791</xdr:colOff>
      <xdr:row>6</xdr:row>
      <xdr:rowOff>156065</xdr:rowOff>
    </xdr:to>
    <xdr:sp macro="" textlink="PVT!C29">
      <xdr:nvSpPr>
        <xdr:cNvPr id="65" name="TextBox 64">
          <a:extLst>
            <a:ext uri="{FF2B5EF4-FFF2-40B4-BE49-F238E27FC236}">
              <a16:creationId xmlns:a16="http://schemas.microsoft.com/office/drawing/2014/main" id="{66A8DB92-051C-43C2-9178-056A985BF140}"/>
            </a:ext>
          </a:extLst>
        </xdr:cNvPr>
        <xdr:cNvSpPr txBox="1"/>
      </xdr:nvSpPr>
      <xdr:spPr>
        <a:xfrm>
          <a:off x="9328006" y="935620"/>
          <a:ext cx="829519"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9DD02E75-28E4-42AE-B3B4-4EF7B19BA253}" type="TxLink">
            <a:rPr lang="en-US" sz="1400" b="1" i="0" u="none" strike="noStrike">
              <a:solidFill>
                <a:schemeClr val="bg1">
                  <a:lumMod val="95000"/>
                </a:schemeClr>
              </a:solidFill>
              <a:latin typeface="Calibri"/>
              <a:ea typeface="Calibri"/>
              <a:cs typeface="Calibri"/>
            </a:rPr>
            <a:t> $7,579 </a:t>
          </a:fld>
          <a:endParaRPr lang="en-US" sz="1600" b="1">
            <a:solidFill>
              <a:schemeClr val="bg1">
                <a:lumMod val="95000"/>
              </a:schemeClr>
            </a:solidFill>
          </a:endParaRPr>
        </a:p>
      </xdr:txBody>
    </xdr:sp>
    <xdr:clientData/>
  </xdr:twoCellAnchor>
  <xdr:twoCellAnchor>
    <xdr:from>
      <xdr:col>18</xdr:col>
      <xdr:colOff>111294</xdr:colOff>
      <xdr:row>5</xdr:row>
      <xdr:rowOff>19291</xdr:rowOff>
    </xdr:from>
    <xdr:to>
      <xdr:col>19</xdr:col>
      <xdr:colOff>333142</xdr:colOff>
      <xdr:row>6</xdr:row>
      <xdr:rowOff>156065</xdr:rowOff>
    </xdr:to>
    <xdr:sp macro="" textlink="PVT!C28">
      <xdr:nvSpPr>
        <xdr:cNvPr id="66" name="TextBox 65">
          <a:extLst>
            <a:ext uri="{FF2B5EF4-FFF2-40B4-BE49-F238E27FC236}">
              <a16:creationId xmlns:a16="http://schemas.microsoft.com/office/drawing/2014/main" id="{A1DA9B64-BA5D-4314-8F4B-CE80C9C41F6F}"/>
            </a:ext>
          </a:extLst>
        </xdr:cNvPr>
        <xdr:cNvSpPr txBox="1"/>
      </xdr:nvSpPr>
      <xdr:spPr>
        <a:xfrm>
          <a:off x="11049370" y="935620"/>
          <a:ext cx="829519"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E09076B5-3355-414E-A5AA-0219C1FDC247}" type="TxLink">
            <a:rPr lang="en-US" sz="1400" b="1" i="0" u="none" strike="noStrike">
              <a:solidFill>
                <a:schemeClr val="bg1">
                  <a:lumMod val="95000"/>
                </a:schemeClr>
              </a:solidFill>
              <a:latin typeface="Calibri"/>
              <a:ea typeface="Calibri"/>
              <a:cs typeface="Calibri"/>
            </a:rPr>
            <a:t> $9,733 </a:t>
          </a:fld>
          <a:endParaRPr lang="en-US" sz="1600" b="1">
            <a:solidFill>
              <a:schemeClr val="bg1">
                <a:lumMod val="95000"/>
              </a:schemeClr>
            </a:solidFill>
          </a:endParaRPr>
        </a:p>
      </xdr:txBody>
    </xdr:sp>
    <xdr:clientData/>
  </xdr:twoCellAnchor>
  <xdr:twoCellAnchor>
    <xdr:from>
      <xdr:col>21</xdr:col>
      <xdr:colOff>38582</xdr:colOff>
      <xdr:row>5</xdr:row>
      <xdr:rowOff>19291</xdr:rowOff>
    </xdr:from>
    <xdr:to>
      <xdr:col>22</xdr:col>
      <xdr:colOff>260431</xdr:colOff>
      <xdr:row>6</xdr:row>
      <xdr:rowOff>156065</xdr:rowOff>
    </xdr:to>
    <xdr:sp macro="" textlink="PVT!C27">
      <xdr:nvSpPr>
        <xdr:cNvPr id="67" name="TextBox 66">
          <a:extLst>
            <a:ext uri="{FF2B5EF4-FFF2-40B4-BE49-F238E27FC236}">
              <a16:creationId xmlns:a16="http://schemas.microsoft.com/office/drawing/2014/main" id="{A8E54C85-6AB8-45BF-85E3-C655E0BD78D5}"/>
            </a:ext>
          </a:extLst>
        </xdr:cNvPr>
        <xdr:cNvSpPr txBox="1"/>
      </xdr:nvSpPr>
      <xdr:spPr>
        <a:xfrm>
          <a:off x="12799671" y="935620"/>
          <a:ext cx="829519"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366377CE-8777-41FB-966B-24C39574789A}" type="TxLink">
            <a:rPr lang="en-US" sz="1400" b="1" i="0" u="none" strike="noStrike">
              <a:solidFill>
                <a:schemeClr val="bg1">
                  <a:lumMod val="95000"/>
                </a:schemeClr>
              </a:solidFill>
              <a:latin typeface="Calibri"/>
              <a:ea typeface="Calibri"/>
              <a:cs typeface="Calibri"/>
            </a:rPr>
            <a:t> $10,029 </a:t>
          </a:fld>
          <a:endParaRPr lang="en-US" sz="1600" b="1">
            <a:solidFill>
              <a:schemeClr val="bg1">
                <a:lumMod val="95000"/>
              </a:schemeClr>
            </a:solidFill>
          </a:endParaRPr>
        </a:p>
      </xdr:txBody>
    </xdr:sp>
    <xdr:clientData/>
  </xdr:twoCellAnchor>
  <xdr:twoCellAnchor>
    <xdr:from>
      <xdr:col>2</xdr:col>
      <xdr:colOff>482278</xdr:colOff>
      <xdr:row>10</xdr:row>
      <xdr:rowOff>62102</xdr:rowOff>
    </xdr:from>
    <xdr:to>
      <xdr:col>8</xdr:col>
      <xdr:colOff>57874</xdr:colOff>
      <xdr:row>24</xdr:row>
      <xdr:rowOff>86810</xdr:rowOff>
    </xdr:to>
    <xdr:graphicFrame macro="">
      <xdr:nvGraphicFramePr>
        <xdr:cNvPr id="72" name="Chart 1">
          <a:extLst>
            <a:ext uri="{FF2B5EF4-FFF2-40B4-BE49-F238E27FC236}">
              <a16:creationId xmlns:a16="http://schemas.microsoft.com/office/drawing/2014/main" id="{2C64412C-CBFC-B7E2-E313-88B605ECCC3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8</xdr:col>
      <xdr:colOff>214049</xdr:colOff>
      <xdr:row>10</xdr:row>
      <xdr:rowOff>33163</xdr:rowOff>
    </xdr:from>
    <xdr:to>
      <xdr:col>16</xdr:col>
      <xdr:colOff>221847</xdr:colOff>
      <xdr:row>23</xdr:row>
      <xdr:rowOff>154328</xdr:rowOff>
    </xdr:to>
    <mc:AlternateContent xmlns:mc="http://schemas.openxmlformats.org/markup-compatibility/2006">
      <mc:Choice xmlns:cx1="http://schemas.microsoft.com/office/drawing/2015/9/8/chartex" Requires="cx1">
        <xdr:graphicFrame macro="">
          <xdr:nvGraphicFramePr>
            <xdr:cNvPr id="73" name="Chart 2">
              <a:extLst>
                <a:ext uri="{FF2B5EF4-FFF2-40B4-BE49-F238E27FC236}">
                  <a16:creationId xmlns:a16="http://schemas.microsoft.com/office/drawing/2014/main" id="{D2E40BAC-3D2E-26CB-EB0F-01190DE4B6CB}"/>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8"/>
            </a:graphicData>
          </a:graphic>
        </xdr:graphicFrame>
      </mc:Choice>
      <mc:Fallback>
        <xdr:sp macro="" textlink="">
          <xdr:nvSpPr>
            <xdr:cNvPr id="0" name=""/>
            <xdr:cNvSpPr>
              <a:spLocks noTextEdit="1"/>
            </xdr:cNvSpPr>
          </xdr:nvSpPr>
          <xdr:spPr>
            <a:xfrm>
              <a:off x="5075416" y="1865821"/>
              <a:ext cx="4869165" cy="2503621"/>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455187</xdr:colOff>
      <xdr:row>25</xdr:row>
      <xdr:rowOff>57873</xdr:rowOff>
    </xdr:from>
    <xdr:to>
      <xdr:col>8</xdr:col>
      <xdr:colOff>67518</xdr:colOff>
      <xdr:row>38</xdr:row>
      <xdr:rowOff>9645</xdr:rowOff>
    </xdr:to>
    <xdr:graphicFrame macro="">
      <xdr:nvGraphicFramePr>
        <xdr:cNvPr id="74" name="Chart 3">
          <a:extLst>
            <a:ext uri="{FF2B5EF4-FFF2-40B4-BE49-F238E27FC236}">
              <a16:creationId xmlns:a16="http://schemas.microsoft.com/office/drawing/2014/main" id="{D1C3A331-3D1E-8B42-4F91-80B34B120FF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8</xdr:col>
      <xdr:colOff>214049</xdr:colOff>
      <xdr:row>24</xdr:row>
      <xdr:rowOff>71746</xdr:rowOff>
    </xdr:from>
    <xdr:to>
      <xdr:col>16</xdr:col>
      <xdr:colOff>241139</xdr:colOff>
      <xdr:row>38</xdr:row>
      <xdr:rowOff>0</xdr:rowOff>
    </xdr:to>
    <xdr:graphicFrame macro="">
      <xdr:nvGraphicFramePr>
        <xdr:cNvPr id="75" name="Chart 4">
          <a:extLst>
            <a:ext uri="{FF2B5EF4-FFF2-40B4-BE49-F238E27FC236}">
              <a16:creationId xmlns:a16="http://schemas.microsoft.com/office/drawing/2014/main" id="{EA8050F6-FD03-9BB1-DFDC-C8F8CFC841D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16</xdr:col>
      <xdr:colOff>405113</xdr:colOff>
      <xdr:row>10</xdr:row>
      <xdr:rowOff>77165</xdr:rowOff>
    </xdr:from>
    <xdr:to>
      <xdr:col>22</xdr:col>
      <xdr:colOff>347241</xdr:colOff>
      <xdr:row>38</xdr:row>
      <xdr:rowOff>38583</xdr:rowOff>
    </xdr:to>
    <xdr:graphicFrame macro="">
      <xdr:nvGraphicFramePr>
        <xdr:cNvPr id="76" name="Chart 5">
          <a:extLst>
            <a:ext uri="{FF2B5EF4-FFF2-40B4-BE49-F238E27FC236}">
              <a16:creationId xmlns:a16="http://schemas.microsoft.com/office/drawing/2014/main" id="{289BC1B5-3A80-BBFB-1D54-9C9B6477EE4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editAs="oneCell">
    <xdr:from>
      <xdr:col>0</xdr:col>
      <xdr:colOff>230625</xdr:colOff>
      <xdr:row>5</xdr:row>
      <xdr:rowOff>95490</xdr:rowOff>
    </xdr:from>
    <xdr:to>
      <xdr:col>2</xdr:col>
      <xdr:colOff>337594</xdr:colOff>
      <xdr:row>38</xdr:row>
      <xdr:rowOff>9645</xdr:rowOff>
    </xdr:to>
    <mc:AlternateContent xmlns:mc="http://schemas.openxmlformats.org/markup-compatibility/2006">
      <mc:Choice xmlns:a14="http://schemas.microsoft.com/office/drawing/2010/main" Requires="a14">
        <xdr:graphicFrame macro="">
          <xdr:nvGraphicFramePr>
            <xdr:cNvPr id="77" name="Month">
              <a:extLst>
                <a:ext uri="{FF2B5EF4-FFF2-40B4-BE49-F238E27FC236}">
                  <a16:creationId xmlns:a16="http://schemas.microsoft.com/office/drawing/2014/main" id="{1B9169CA-B751-4EAA-8684-2CE5E477625E}"/>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dr:sp macro="" textlink="">
          <xdr:nvSpPr>
            <xdr:cNvPr id="0" name=""/>
            <xdr:cNvSpPr>
              <a:spLocks noTextEdit="1"/>
            </xdr:cNvSpPr>
          </xdr:nvSpPr>
          <xdr:spPr>
            <a:xfrm>
              <a:off x="230625" y="1011819"/>
              <a:ext cx="1322311" cy="59619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540150</xdr:colOff>
      <xdr:row>1</xdr:row>
      <xdr:rowOff>48227</xdr:rowOff>
    </xdr:from>
    <xdr:to>
      <xdr:col>22</xdr:col>
      <xdr:colOff>84880</xdr:colOff>
      <xdr:row>4</xdr:row>
      <xdr:rowOff>163975</xdr:rowOff>
    </xdr:to>
    <xdr:pic macro="[0]!Click">
      <xdr:nvPicPr>
        <xdr:cNvPr id="71" name="Graphic 70" descr="Television outline">
          <a:extLst>
            <a:ext uri="{FF2B5EF4-FFF2-40B4-BE49-F238E27FC236}">
              <a16:creationId xmlns:a16="http://schemas.microsoft.com/office/drawing/2014/main" id="{50C29FB8-1387-B8FC-9CD6-DC4D8753F461}"/>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2693568" y="231493"/>
          <a:ext cx="760071" cy="665545"/>
        </a:xfrm>
        <a:prstGeom prst="rect">
          <a:avLst/>
        </a:prstGeom>
      </xdr:spPr>
    </xdr:pic>
    <xdr:clientData/>
  </xdr:twoCellAnchor>
  <xdr:twoCellAnchor editAs="oneCell">
    <xdr:from>
      <xdr:col>18</xdr:col>
      <xdr:colOff>376177</xdr:colOff>
      <xdr:row>1</xdr:row>
      <xdr:rowOff>48226</xdr:rowOff>
    </xdr:from>
    <xdr:to>
      <xdr:col>19</xdr:col>
      <xdr:colOff>395468</xdr:colOff>
      <xdr:row>4</xdr:row>
      <xdr:rowOff>125391</xdr:rowOff>
    </xdr:to>
    <xdr:pic macro="[0]!Refresh_Data">
      <xdr:nvPicPr>
        <xdr:cNvPr id="69" name="Graphic 68" descr="Repeat with solid fill">
          <a:extLst>
            <a:ext uri="{FF2B5EF4-FFF2-40B4-BE49-F238E27FC236}">
              <a16:creationId xmlns:a16="http://schemas.microsoft.com/office/drawing/2014/main" id="{874B95A4-C87D-B497-193C-5D1FC6C9FB1E}"/>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rcRect/>
        <a:stretch/>
      </xdr:blipFill>
      <xdr:spPr>
        <a:xfrm>
          <a:off x="11314253" y="231492"/>
          <a:ext cx="626962" cy="626962"/>
        </a:xfrm>
        <a:prstGeom prst="rect">
          <a:avLst/>
        </a:prstGeom>
      </xdr:spPr>
    </xdr:pic>
    <xdr:clientData/>
  </xdr:twoCellAnchor>
</xdr:wsDr>
</file>

<file path=xl/drawings/drawing2.xml><?xml version="1.0" encoding="utf-8"?>
<c:userShapes xmlns:c="http://schemas.openxmlformats.org/drawingml/2006/chart">
  <cdr:relSizeAnchor xmlns:cdr="http://schemas.openxmlformats.org/drawingml/2006/chartDrawing">
    <cdr:from>
      <cdr:x>0.22535</cdr:x>
      <cdr:y>0.45767</cdr:y>
    </cdr:from>
    <cdr:to>
      <cdr:x>0.48283</cdr:x>
      <cdr:y>0.59793</cdr:y>
    </cdr:to>
    <cdr:sp macro="" textlink="PVT!$F$23">
      <cdr:nvSpPr>
        <cdr:cNvPr id="2" name="TextBox 60">
          <a:extLst xmlns:a="http://schemas.openxmlformats.org/drawingml/2006/main">
            <a:ext uri="{FF2B5EF4-FFF2-40B4-BE49-F238E27FC236}">
              <a16:creationId xmlns:a16="http://schemas.microsoft.com/office/drawing/2014/main" id="{655396E0-5E46-4FD1-87FE-393AC5B5E303}"/>
            </a:ext>
          </a:extLst>
        </cdr:cNvPr>
        <cdr:cNvSpPr txBox="1"/>
      </cdr:nvSpPr>
      <cdr:spPr>
        <a:xfrm xmlns:a="http://schemas.openxmlformats.org/drawingml/2006/main">
          <a:off x="725990" y="1044294"/>
          <a:ext cx="829519" cy="320040"/>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fld id="{DFB552B9-4555-41B6-9C29-1AD83AFF36DE}" type="TxLink">
            <a:rPr lang="en-US" sz="1400" b="1" i="0" u="none" strike="noStrike">
              <a:solidFill>
                <a:schemeClr val="bg1">
                  <a:lumMod val="95000"/>
                </a:schemeClr>
              </a:solidFill>
              <a:latin typeface="Calibri"/>
              <a:ea typeface="Calibri"/>
              <a:cs typeface="Calibri"/>
            </a:rPr>
            <a:t> $74,645 </a:t>
          </a:fld>
          <a:endParaRPr lang="en-US" sz="2000" b="1">
            <a:solidFill>
              <a:schemeClr val="bg1">
                <a:lumMod val="95000"/>
              </a:schemeClr>
            </a:solidFill>
          </a:endParaRPr>
        </a:p>
      </cdr:txBody>
    </cdr:sp>
  </cdr:relSizeAnchor>
</c:userShape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ohn P" refreshedDate="46124.560756597224" createdVersion="8" refreshedVersion="8" minRefreshableVersion="3" recordCount="612" xr:uid="{F7E9DC2B-C326-4601-8D64-72DB3288E3EE}">
  <cacheSource type="worksheet">
    <worksheetSource name="Table3"/>
  </cacheSource>
  <cacheFields count="9">
    <cacheField name="Date" numFmtId="14">
      <sharedItems/>
    </cacheField>
    <cacheField name="Account Type" numFmtId="0">
      <sharedItems count="3">
        <s v="Checking Account"/>
        <s v="Credit Card"/>
        <s v="Cash"/>
      </sharedItems>
    </cacheField>
    <cacheField name="Category" numFmtId="0">
      <sharedItems count="8">
        <s v="Healthcare"/>
        <s v="Debt Payments"/>
        <s v="Transportation"/>
        <s v="Education"/>
        <s v="Savings &amp; Investments"/>
        <s v="Housing"/>
        <s v="Food"/>
        <s v="Income"/>
      </sharedItems>
    </cacheField>
    <cacheField name="Subcategory" numFmtId="0">
      <sharedItems count="17">
        <s v="Health Insurance"/>
        <s v="Student Loans"/>
        <s v="Public Transport"/>
        <s v="Books &amp; Materials"/>
        <s v="Medical Expenses"/>
        <s v="Retirement Savings"/>
        <s v="Rent/Mortgage"/>
        <s v="Tuition Fees"/>
        <s v="Emergency Fund"/>
        <s v="Credit Card Payments"/>
        <s v="Groceries"/>
        <s v="Utilities"/>
        <s v="Car Loan/Lease"/>
        <s v="Home Maintenance"/>
        <s v="Gas &amp; Fuel"/>
        <s v="Dining Out"/>
        <s v="Monthly Salary"/>
      </sharedItems>
    </cacheField>
    <cacheField name="Category Type" numFmtId="0">
      <sharedItems count="2">
        <s v="Expense"/>
        <s v="Income"/>
      </sharedItems>
    </cacheField>
    <cacheField name="Debit" numFmtId="0">
      <sharedItems containsString="0" containsBlank="1" containsNumber="1" minValue="6.38" maxValue="237.91"/>
    </cacheField>
    <cacheField name="Credit" numFmtId="0">
      <sharedItems containsString="0" containsBlank="1" containsNumber="1" containsInteger="1" minValue="7461" maxValue="7461"/>
    </cacheField>
    <cacheField name="Amount" numFmtId="0">
      <sharedItems containsSemiMixedTypes="0" containsString="0" containsNumber="1" minValue="-237.91" maxValue="7461"/>
    </cacheField>
    <cacheField name="Month" numFmtId="0">
      <sharedItems count="12">
        <s v="Jan"/>
        <s v="Feb"/>
        <s v="Mar"/>
        <s v="Apr"/>
        <s v="May"/>
        <s v="Jun"/>
        <s v="Jul"/>
        <s v="Aug"/>
        <s v="Sep"/>
        <s v="Oct"/>
        <s v="Nov"/>
        <s v="Dec"/>
      </sharedItems>
    </cacheField>
  </cacheFields>
  <extLst>
    <ext xmlns:x14="http://schemas.microsoft.com/office/spreadsheetml/2009/9/main" uri="{725AE2AE-9491-48be-B2B4-4EB974FC3084}">
      <x14:pivotCacheDefinition pivotCacheId="53347589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12">
  <r>
    <s v="2024-01-02"/>
    <x v="0"/>
    <x v="0"/>
    <x v="0"/>
    <x v="0"/>
    <n v="219.22"/>
    <m/>
    <n v="-219.22"/>
    <x v="0"/>
  </r>
  <r>
    <s v="2024-01-02"/>
    <x v="1"/>
    <x v="1"/>
    <x v="1"/>
    <x v="0"/>
    <n v="171.81"/>
    <m/>
    <n v="-171.81"/>
    <x v="0"/>
  </r>
  <r>
    <s v="2024-01-02"/>
    <x v="1"/>
    <x v="2"/>
    <x v="2"/>
    <x v="0"/>
    <n v="125.11"/>
    <m/>
    <n v="-125.11"/>
    <x v="0"/>
  </r>
  <r>
    <s v="2024-01-02"/>
    <x v="1"/>
    <x v="3"/>
    <x v="3"/>
    <x v="0"/>
    <n v="98.06"/>
    <m/>
    <n v="-98.06"/>
    <x v="0"/>
  </r>
  <r>
    <s v="2024-01-04"/>
    <x v="1"/>
    <x v="2"/>
    <x v="2"/>
    <x v="0"/>
    <n v="208.98"/>
    <m/>
    <n v="-208.98"/>
    <x v="0"/>
  </r>
  <r>
    <s v="2024-01-04"/>
    <x v="0"/>
    <x v="0"/>
    <x v="4"/>
    <x v="0"/>
    <n v="172.53"/>
    <m/>
    <n v="-172.53"/>
    <x v="0"/>
  </r>
  <r>
    <s v="2024-01-04"/>
    <x v="0"/>
    <x v="4"/>
    <x v="5"/>
    <x v="0"/>
    <n v="41.22"/>
    <m/>
    <n v="-41.22"/>
    <x v="0"/>
  </r>
  <r>
    <s v="2024-01-04"/>
    <x v="0"/>
    <x v="5"/>
    <x v="6"/>
    <x v="0"/>
    <n v="24.54"/>
    <m/>
    <n v="-24.54"/>
    <x v="0"/>
  </r>
  <r>
    <s v="2024-01-04"/>
    <x v="0"/>
    <x v="3"/>
    <x v="7"/>
    <x v="0"/>
    <n v="145.76"/>
    <m/>
    <n v="-145.76"/>
    <x v="0"/>
  </r>
  <r>
    <s v="2024-01-05"/>
    <x v="1"/>
    <x v="3"/>
    <x v="3"/>
    <x v="0"/>
    <n v="142.53"/>
    <m/>
    <n v="-142.53"/>
    <x v="0"/>
  </r>
  <r>
    <s v="2024-01-06"/>
    <x v="0"/>
    <x v="5"/>
    <x v="6"/>
    <x v="0"/>
    <n v="26.57"/>
    <m/>
    <n v="-26.57"/>
    <x v="0"/>
  </r>
  <r>
    <s v="2024-01-06"/>
    <x v="1"/>
    <x v="3"/>
    <x v="3"/>
    <x v="0"/>
    <n v="127.22"/>
    <m/>
    <n v="-127.22"/>
    <x v="0"/>
  </r>
  <r>
    <s v="2024-01-06"/>
    <x v="1"/>
    <x v="4"/>
    <x v="8"/>
    <x v="0"/>
    <n v="161.72"/>
    <m/>
    <n v="-161.72"/>
    <x v="0"/>
  </r>
  <r>
    <s v="2024-01-07"/>
    <x v="0"/>
    <x v="1"/>
    <x v="9"/>
    <x v="0"/>
    <n v="68.95"/>
    <m/>
    <n v="-68.95"/>
    <x v="0"/>
  </r>
  <r>
    <s v="2024-01-07"/>
    <x v="0"/>
    <x v="6"/>
    <x v="10"/>
    <x v="0"/>
    <n v="144.24"/>
    <m/>
    <n v="-144.24"/>
    <x v="0"/>
  </r>
  <r>
    <s v="2024-01-08"/>
    <x v="0"/>
    <x v="3"/>
    <x v="3"/>
    <x v="0"/>
    <n v="104.01"/>
    <m/>
    <n v="-104.01"/>
    <x v="0"/>
  </r>
  <r>
    <s v="2024-01-09"/>
    <x v="1"/>
    <x v="5"/>
    <x v="11"/>
    <x v="0"/>
    <n v="216.23"/>
    <m/>
    <n v="-216.23"/>
    <x v="0"/>
  </r>
  <r>
    <s v="2024-01-09"/>
    <x v="0"/>
    <x v="5"/>
    <x v="11"/>
    <x v="0"/>
    <n v="164.26"/>
    <m/>
    <n v="-164.26"/>
    <x v="0"/>
  </r>
  <r>
    <s v="2024-01-09"/>
    <x v="1"/>
    <x v="5"/>
    <x v="6"/>
    <x v="0"/>
    <n v="221.15"/>
    <m/>
    <n v="-221.15"/>
    <x v="0"/>
  </r>
  <r>
    <s v="2024-01-10"/>
    <x v="1"/>
    <x v="2"/>
    <x v="12"/>
    <x v="0"/>
    <n v="125.86"/>
    <m/>
    <n v="-125.86"/>
    <x v="0"/>
  </r>
  <r>
    <s v="2024-01-11"/>
    <x v="1"/>
    <x v="5"/>
    <x v="6"/>
    <x v="0"/>
    <n v="130.5"/>
    <m/>
    <n v="-130.5"/>
    <x v="0"/>
  </r>
  <r>
    <s v="2024-01-11"/>
    <x v="1"/>
    <x v="6"/>
    <x v="10"/>
    <x v="0"/>
    <n v="108.45"/>
    <m/>
    <n v="-108.45"/>
    <x v="0"/>
  </r>
  <r>
    <s v="2024-01-12"/>
    <x v="0"/>
    <x v="5"/>
    <x v="13"/>
    <x v="0"/>
    <n v="18.79"/>
    <m/>
    <n v="-18.79"/>
    <x v="0"/>
  </r>
  <r>
    <s v="2024-01-12"/>
    <x v="0"/>
    <x v="5"/>
    <x v="13"/>
    <x v="0"/>
    <n v="146.49"/>
    <m/>
    <n v="-146.49"/>
    <x v="0"/>
  </r>
  <r>
    <s v="2024-01-14"/>
    <x v="0"/>
    <x v="6"/>
    <x v="10"/>
    <x v="0"/>
    <n v="82.41"/>
    <m/>
    <n v="-82.41"/>
    <x v="0"/>
  </r>
  <r>
    <s v="2024-01-14"/>
    <x v="0"/>
    <x v="5"/>
    <x v="6"/>
    <x v="0"/>
    <n v="166.43"/>
    <m/>
    <n v="-166.43"/>
    <x v="0"/>
  </r>
  <r>
    <s v="2024-01-14"/>
    <x v="0"/>
    <x v="1"/>
    <x v="9"/>
    <x v="0"/>
    <n v="169.86"/>
    <m/>
    <n v="-169.86"/>
    <x v="0"/>
  </r>
  <r>
    <s v="2024-01-14"/>
    <x v="1"/>
    <x v="1"/>
    <x v="1"/>
    <x v="0"/>
    <n v="132.44"/>
    <m/>
    <n v="-132.44"/>
    <x v="0"/>
  </r>
  <r>
    <s v="2024-01-14"/>
    <x v="0"/>
    <x v="1"/>
    <x v="9"/>
    <x v="0"/>
    <n v="71.08"/>
    <m/>
    <n v="-71.08"/>
    <x v="0"/>
  </r>
  <r>
    <s v="2024-01-15"/>
    <x v="0"/>
    <x v="4"/>
    <x v="8"/>
    <x v="0"/>
    <n v="29.04"/>
    <m/>
    <n v="-29.04"/>
    <x v="0"/>
  </r>
  <r>
    <s v="2024-01-18"/>
    <x v="2"/>
    <x v="6"/>
    <x v="10"/>
    <x v="0"/>
    <n v="43.54"/>
    <m/>
    <n v="-43.54"/>
    <x v="0"/>
  </r>
  <r>
    <s v="2024-01-18"/>
    <x v="1"/>
    <x v="6"/>
    <x v="10"/>
    <x v="0"/>
    <n v="177.08"/>
    <m/>
    <n v="-177.08"/>
    <x v="0"/>
  </r>
  <r>
    <s v="2024-01-19"/>
    <x v="1"/>
    <x v="3"/>
    <x v="3"/>
    <x v="0"/>
    <n v="230.58"/>
    <m/>
    <n v="-230.58"/>
    <x v="0"/>
  </r>
  <r>
    <s v="2024-01-19"/>
    <x v="0"/>
    <x v="3"/>
    <x v="3"/>
    <x v="0"/>
    <n v="107.75"/>
    <m/>
    <n v="-107.75"/>
    <x v="0"/>
  </r>
  <r>
    <s v="2024-01-20"/>
    <x v="0"/>
    <x v="2"/>
    <x v="14"/>
    <x v="0"/>
    <n v="228.46"/>
    <m/>
    <n v="-228.46"/>
    <x v="0"/>
  </r>
  <r>
    <s v="2024-01-21"/>
    <x v="1"/>
    <x v="0"/>
    <x v="4"/>
    <x v="0"/>
    <n v="102.41"/>
    <m/>
    <n v="-102.41"/>
    <x v="0"/>
  </r>
  <r>
    <s v="2024-01-21"/>
    <x v="2"/>
    <x v="6"/>
    <x v="10"/>
    <x v="0"/>
    <n v="69.3"/>
    <m/>
    <n v="-69.3"/>
    <x v="0"/>
  </r>
  <r>
    <s v="2024-01-21"/>
    <x v="0"/>
    <x v="5"/>
    <x v="11"/>
    <x v="0"/>
    <n v="175.91"/>
    <m/>
    <n v="-175.91"/>
    <x v="0"/>
  </r>
  <r>
    <s v="2024-01-22"/>
    <x v="1"/>
    <x v="4"/>
    <x v="8"/>
    <x v="0"/>
    <n v="166.49"/>
    <m/>
    <n v="-166.49"/>
    <x v="0"/>
  </r>
  <r>
    <s v="2024-01-22"/>
    <x v="1"/>
    <x v="6"/>
    <x v="15"/>
    <x v="0"/>
    <n v="6.38"/>
    <m/>
    <n v="-6.38"/>
    <x v="0"/>
  </r>
  <r>
    <s v="2024-01-23"/>
    <x v="0"/>
    <x v="2"/>
    <x v="12"/>
    <x v="0"/>
    <n v="207.57"/>
    <m/>
    <n v="-207.57"/>
    <x v="0"/>
  </r>
  <r>
    <s v="2024-01-23"/>
    <x v="1"/>
    <x v="2"/>
    <x v="2"/>
    <x v="0"/>
    <n v="168.11"/>
    <m/>
    <n v="-168.11"/>
    <x v="0"/>
  </r>
  <r>
    <s v="2024-01-24"/>
    <x v="0"/>
    <x v="4"/>
    <x v="8"/>
    <x v="0"/>
    <n v="107.78"/>
    <m/>
    <n v="-107.78"/>
    <x v="0"/>
  </r>
  <r>
    <s v="2024-01-24"/>
    <x v="1"/>
    <x v="2"/>
    <x v="12"/>
    <x v="0"/>
    <n v="195.8"/>
    <m/>
    <n v="-195.8"/>
    <x v="0"/>
  </r>
  <r>
    <s v="2024-01-25"/>
    <x v="1"/>
    <x v="6"/>
    <x v="10"/>
    <x v="0"/>
    <n v="150.22"/>
    <m/>
    <n v="-150.22"/>
    <x v="0"/>
  </r>
  <r>
    <s v="2024-01-25"/>
    <x v="0"/>
    <x v="3"/>
    <x v="7"/>
    <x v="0"/>
    <n v="211.8"/>
    <m/>
    <n v="-211.8"/>
    <x v="0"/>
  </r>
  <r>
    <s v="2024-01-26"/>
    <x v="0"/>
    <x v="3"/>
    <x v="7"/>
    <x v="0"/>
    <n v="201.55"/>
    <m/>
    <n v="-201.55"/>
    <x v="0"/>
  </r>
  <r>
    <s v="2024-01-27"/>
    <x v="1"/>
    <x v="4"/>
    <x v="5"/>
    <x v="0"/>
    <n v="50.07"/>
    <m/>
    <n v="-50.07"/>
    <x v="0"/>
  </r>
  <r>
    <s v="2024-01-28"/>
    <x v="0"/>
    <x v="2"/>
    <x v="12"/>
    <x v="0"/>
    <n v="112.53"/>
    <m/>
    <n v="-112.53"/>
    <x v="0"/>
  </r>
  <r>
    <s v="2024-01-28"/>
    <x v="1"/>
    <x v="5"/>
    <x v="13"/>
    <x v="0"/>
    <n v="134.13"/>
    <m/>
    <n v="-134.13"/>
    <x v="0"/>
  </r>
  <r>
    <s v="2024-01-28"/>
    <x v="0"/>
    <x v="7"/>
    <x v="16"/>
    <x v="1"/>
    <m/>
    <n v="7461"/>
    <n v="7461"/>
    <x v="0"/>
  </r>
  <r>
    <s v="2024-02-01"/>
    <x v="1"/>
    <x v="6"/>
    <x v="10"/>
    <x v="0"/>
    <n v="29.01"/>
    <m/>
    <n v="-29.01"/>
    <x v="1"/>
  </r>
  <r>
    <s v="2024-02-01"/>
    <x v="0"/>
    <x v="6"/>
    <x v="15"/>
    <x v="0"/>
    <n v="226.23"/>
    <m/>
    <n v="-226.23"/>
    <x v="1"/>
  </r>
  <r>
    <s v="2024-02-02"/>
    <x v="0"/>
    <x v="4"/>
    <x v="8"/>
    <x v="0"/>
    <n v="122.96"/>
    <m/>
    <n v="-122.96"/>
    <x v="1"/>
  </r>
  <r>
    <s v="2024-02-02"/>
    <x v="0"/>
    <x v="5"/>
    <x v="13"/>
    <x v="0"/>
    <n v="234.43"/>
    <m/>
    <n v="-234.43"/>
    <x v="1"/>
  </r>
  <r>
    <s v="2024-02-02"/>
    <x v="0"/>
    <x v="4"/>
    <x v="5"/>
    <x v="0"/>
    <n v="235.93"/>
    <m/>
    <n v="-235.93"/>
    <x v="1"/>
  </r>
  <r>
    <s v="2024-02-02"/>
    <x v="1"/>
    <x v="4"/>
    <x v="8"/>
    <x v="0"/>
    <n v="75.650000000000006"/>
    <m/>
    <n v="-75.650000000000006"/>
    <x v="1"/>
  </r>
  <r>
    <s v="2024-02-03"/>
    <x v="1"/>
    <x v="5"/>
    <x v="11"/>
    <x v="0"/>
    <n v="133.38"/>
    <m/>
    <n v="-133.38"/>
    <x v="1"/>
  </r>
  <r>
    <s v="2024-02-03"/>
    <x v="0"/>
    <x v="1"/>
    <x v="9"/>
    <x v="0"/>
    <n v="97.35"/>
    <m/>
    <n v="-97.35"/>
    <x v="1"/>
  </r>
  <r>
    <s v="2024-02-03"/>
    <x v="0"/>
    <x v="2"/>
    <x v="14"/>
    <x v="0"/>
    <n v="184.01"/>
    <m/>
    <n v="-184.01"/>
    <x v="1"/>
  </r>
  <r>
    <s v="2024-02-03"/>
    <x v="0"/>
    <x v="4"/>
    <x v="5"/>
    <x v="0"/>
    <n v="222.15"/>
    <m/>
    <n v="-222.15"/>
    <x v="1"/>
  </r>
  <r>
    <s v="2024-02-04"/>
    <x v="1"/>
    <x v="5"/>
    <x v="6"/>
    <x v="0"/>
    <n v="214.46"/>
    <m/>
    <n v="-214.46"/>
    <x v="1"/>
  </r>
  <r>
    <s v="2024-02-04"/>
    <x v="1"/>
    <x v="5"/>
    <x v="13"/>
    <x v="0"/>
    <n v="121.01"/>
    <m/>
    <n v="-121.01"/>
    <x v="1"/>
  </r>
  <r>
    <s v="2024-02-05"/>
    <x v="0"/>
    <x v="2"/>
    <x v="12"/>
    <x v="0"/>
    <n v="95.89"/>
    <m/>
    <n v="-95.89"/>
    <x v="1"/>
  </r>
  <r>
    <s v="2024-02-06"/>
    <x v="0"/>
    <x v="5"/>
    <x v="11"/>
    <x v="0"/>
    <n v="31.65"/>
    <m/>
    <n v="-31.65"/>
    <x v="1"/>
  </r>
  <r>
    <s v="2024-02-06"/>
    <x v="1"/>
    <x v="5"/>
    <x v="13"/>
    <x v="0"/>
    <n v="217.27"/>
    <m/>
    <n v="-217.27"/>
    <x v="1"/>
  </r>
  <r>
    <s v="2024-02-07"/>
    <x v="0"/>
    <x v="3"/>
    <x v="7"/>
    <x v="0"/>
    <n v="135.94"/>
    <m/>
    <n v="-135.94"/>
    <x v="1"/>
  </r>
  <r>
    <s v="2024-02-07"/>
    <x v="1"/>
    <x v="0"/>
    <x v="0"/>
    <x v="0"/>
    <n v="116.79"/>
    <m/>
    <n v="-116.79"/>
    <x v="1"/>
  </r>
  <r>
    <s v="2024-02-07"/>
    <x v="1"/>
    <x v="0"/>
    <x v="4"/>
    <x v="0"/>
    <n v="156.11000000000001"/>
    <m/>
    <n v="-156.11000000000001"/>
    <x v="1"/>
  </r>
  <r>
    <s v="2024-02-08"/>
    <x v="1"/>
    <x v="1"/>
    <x v="1"/>
    <x v="0"/>
    <n v="194.39"/>
    <m/>
    <n v="-194.39"/>
    <x v="1"/>
  </r>
  <r>
    <s v="2024-02-08"/>
    <x v="0"/>
    <x v="5"/>
    <x v="13"/>
    <x v="0"/>
    <n v="23.78"/>
    <m/>
    <n v="-23.78"/>
    <x v="1"/>
  </r>
  <r>
    <s v="2024-02-09"/>
    <x v="1"/>
    <x v="2"/>
    <x v="12"/>
    <x v="0"/>
    <n v="150.04"/>
    <m/>
    <n v="-150.04"/>
    <x v="1"/>
  </r>
  <r>
    <s v="2024-02-09"/>
    <x v="1"/>
    <x v="2"/>
    <x v="2"/>
    <x v="0"/>
    <n v="159.02000000000001"/>
    <m/>
    <n v="-159.02000000000001"/>
    <x v="1"/>
  </r>
  <r>
    <s v="2024-02-09"/>
    <x v="1"/>
    <x v="5"/>
    <x v="13"/>
    <x v="0"/>
    <n v="53.4"/>
    <m/>
    <n v="-53.4"/>
    <x v="1"/>
  </r>
  <r>
    <s v="2024-02-10"/>
    <x v="1"/>
    <x v="5"/>
    <x v="13"/>
    <x v="0"/>
    <n v="128.57"/>
    <m/>
    <n v="-128.57"/>
    <x v="1"/>
  </r>
  <r>
    <s v="2024-02-11"/>
    <x v="0"/>
    <x v="3"/>
    <x v="7"/>
    <x v="0"/>
    <n v="11.39"/>
    <m/>
    <n v="-11.39"/>
    <x v="1"/>
  </r>
  <r>
    <s v="2024-02-12"/>
    <x v="0"/>
    <x v="0"/>
    <x v="4"/>
    <x v="0"/>
    <n v="151.35"/>
    <m/>
    <n v="-151.35"/>
    <x v="1"/>
  </r>
  <r>
    <s v="2024-02-13"/>
    <x v="1"/>
    <x v="3"/>
    <x v="3"/>
    <x v="0"/>
    <n v="86.16"/>
    <m/>
    <n v="-86.16"/>
    <x v="1"/>
  </r>
  <r>
    <s v="2024-02-13"/>
    <x v="1"/>
    <x v="0"/>
    <x v="0"/>
    <x v="0"/>
    <n v="199.67"/>
    <m/>
    <n v="-199.67"/>
    <x v="1"/>
  </r>
  <r>
    <s v="2024-02-14"/>
    <x v="1"/>
    <x v="4"/>
    <x v="5"/>
    <x v="0"/>
    <n v="153.68"/>
    <m/>
    <n v="-153.68"/>
    <x v="1"/>
  </r>
  <r>
    <s v="2024-02-15"/>
    <x v="0"/>
    <x v="1"/>
    <x v="9"/>
    <x v="0"/>
    <n v="18.73"/>
    <m/>
    <n v="-18.73"/>
    <x v="1"/>
  </r>
  <r>
    <s v="2024-02-15"/>
    <x v="0"/>
    <x v="3"/>
    <x v="7"/>
    <x v="0"/>
    <n v="181.8"/>
    <m/>
    <n v="-181.8"/>
    <x v="1"/>
  </r>
  <r>
    <s v="2024-02-16"/>
    <x v="1"/>
    <x v="5"/>
    <x v="11"/>
    <x v="0"/>
    <n v="160.38999999999999"/>
    <m/>
    <n v="-160.38999999999999"/>
    <x v="1"/>
  </r>
  <r>
    <s v="2024-02-18"/>
    <x v="1"/>
    <x v="0"/>
    <x v="4"/>
    <x v="0"/>
    <n v="225.09"/>
    <m/>
    <n v="-225.09"/>
    <x v="1"/>
  </r>
  <r>
    <s v="2024-02-18"/>
    <x v="1"/>
    <x v="5"/>
    <x v="11"/>
    <x v="0"/>
    <n v="107.59"/>
    <m/>
    <n v="-107.59"/>
    <x v="1"/>
  </r>
  <r>
    <s v="2024-02-18"/>
    <x v="0"/>
    <x v="5"/>
    <x v="13"/>
    <x v="0"/>
    <n v="153.52000000000001"/>
    <m/>
    <n v="-153.52000000000001"/>
    <x v="1"/>
  </r>
  <r>
    <s v="2024-02-19"/>
    <x v="1"/>
    <x v="3"/>
    <x v="3"/>
    <x v="0"/>
    <n v="73.97"/>
    <m/>
    <n v="-73.97"/>
    <x v="1"/>
  </r>
  <r>
    <s v="2024-02-20"/>
    <x v="1"/>
    <x v="3"/>
    <x v="7"/>
    <x v="0"/>
    <n v="73.14"/>
    <m/>
    <n v="-73.14"/>
    <x v="1"/>
  </r>
  <r>
    <s v="2024-02-21"/>
    <x v="0"/>
    <x v="2"/>
    <x v="12"/>
    <x v="0"/>
    <n v="234.24"/>
    <m/>
    <n v="-234.24"/>
    <x v="1"/>
  </r>
  <r>
    <s v="2024-02-22"/>
    <x v="0"/>
    <x v="1"/>
    <x v="1"/>
    <x v="0"/>
    <n v="108.76"/>
    <m/>
    <n v="-108.76"/>
    <x v="1"/>
  </r>
  <r>
    <s v="2024-02-23"/>
    <x v="0"/>
    <x v="4"/>
    <x v="5"/>
    <x v="0"/>
    <n v="56.73"/>
    <m/>
    <n v="-56.73"/>
    <x v="1"/>
  </r>
  <r>
    <s v="2024-02-24"/>
    <x v="0"/>
    <x v="2"/>
    <x v="14"/>
    <x v="0"/>
    <n v="15.82"/>
    <m/>
    <n v="-15.82"/>
    <x v="1"/>
  </r>
  <r>
    <s v="2024-02-24"/>
    <x v="0"/>
    <x v="4"/>
    <x v="8"/>
    <x v="0"/>
    <n v="138.75"/>
    <m/>
    <n v="-138.75"/>
    <x v="1"/>
  </r>
  <r>
    <s v="2024-02-25"/>
    <x v="0"/>
    <x v="2"/>
    <x v="14"/>
    <x v="0"/>
    <n v="14.82"/>
    <m/>
    <n v="-14.82"/>
    <x v="1"/>
  </r>
  <r>
    <s v="2024-02-25"/>
    <x v="0"/>
    <x v="3"/>
    <x v="7"/>
    <x v="0"/>
    <n v="148.91999999999999"/>
    <m/>
    <n v="-148.91999999999999"/>
    <x v="1"/>
  </r>
  <r>
    <s v="2024-02-25"/>
    <x v="1"/>
    <x v="3"/>
    <x v="7"/>
    <x v="0"/>
    <n v="227.73"/>
    <m/>
    <n v="-227.73"/>
    <x v="1"/>
  </r>
  <r>
    <s v="2024-02-26"/>
    <x v="1"/>
    <x v="5"/>
    <x v="6"/>
    <x v="0"/>
    <n v="106.08"/>
    <m/>
    <n v="-106.08"/>
    <x v="1"/>
  </r>
  <r>
    <s v="2024-02-26"/>
    <x v="1"/>
    <x v="4"/>
    <x v="5"/>
    <x v="0"/>
    <n v="125.48"/>
    <m/>
    <n v="-125.48"/>
    <x v="1"/>
  </r>
  <r>
    <s v="2024-02-27"/>
    <x v="0"/>
    <x v="5"/>
    <x v="6"/>
    <x v="0"/>
    <n v="237.55"/>
    <m/>
    <n v="-237.55"/>
    <x v="1"/>
  </r>
  <r>
    <s v="2024-02-27"/>
    <x v="2"/>
    <x v="6"/>
    <x v="10"/>
    <x v="0"/>
    <n v="130.1"/>
    <m/>
    <n v="-130.1"/>
    <x v="1"/>
  </r>
  <r>
    <s v="2024-02-28"/>
    <x v="0"/>
    <x v="2"/>
    <x v="14"/>
    <x v="0"/>
    <n v="160.63"/>
    <m/>
    <n v="-160.63"/>
    <x v="1"/>
  </r>
  <r>
    <s v="2024-02-28"/>
    <x v="0"/>
    <x v="7"/>
    <x v="16"/>
    <x v="1"/>
    <m/>
    <n v="7461"/>
    <n v="7461"/>
    <x v="1"/>
  </r>
  <r>
    <s v="2024-03-01"/>
    <x v="1"/>
    <x v="5"/>
    <x v="11"/>
    <x v="0"/>
    <n v="182.85"/>
    <m/>
    <n v="-182.85"/>
    <x v="2"/>
  </r>
  <r>
    <s v="2024-03-01"/>
    <x v="0"/>
    <x v="0"/>
    <x v="0"/>
    <x v="0"/>
    <n v="59.61"/>
    <m/>
    <n v="-59.61"/>
    <x v="2"/>
  </r>
  <r>
    <s v="2024-03-01"/>
    <x v="1"/>
    <x v="4"/>
    <x v="5"/>
    <x v="0"/>
    <n v="153.16"/>
    <m/>
    <n v="-153.16"/>
    <x v="2"/>
  </r>
  <r>
    <s v="2024-03-01"/>
    <x v="0"/>
    <x v="3"/>
    <x v="3"/>
    <x v="0"/>
    <n v="114.75"/>
    <m/>
    <n v="-114.75"/>
    <x v="2"/>
  </r>
  <r>
    <s v="2024-03-03"/>
    <x v="1"/>
    <x v="2"/>
    <x v="12"/>
    <x v="0"/>
    <n v="186.29"/>
    <m/>
    <n v="-186.29"/>
    <x v="2"/>
  </r>
  <r>
    <s v="2024-03-05"/>
    <x v="0"/>
    <x v="4"/>
    <x v="8"/>
    <x v="0"/>
    <n v="115.92"/>
    <m/>
    <n v="-115.92"/>
    <x v="2"/>
  </r>
  <r>
    <s v="2024-03-05"/>
    <x v="0"/>
    <x v="6"/>
    <x v="15"/>
    <x v="0"/>
    <n v="126.69"/>
    <m/>
    <n v="-126.69"/>
    <x v="2"/>
  </r>
  <r>
    <s v="2024-03-06"/>
    <x v="0"/>
    <x v="2"/>
    <x v="12"/>
    <x v="0"/>
    <n v="208.56"/>
    <m/>
    <n v="-208.56"/>
    <x v="2"/>
  </r>
  <r>
    <s v="2024-03-07"/>
    <x v="0"/>
    <x v="1"/>
    <x v="1"/>
    <x v="0"/>
    <n v="181.16"/>
    <m/>
    <n v="-181.16"/>
    <x v="2"/>
  </r>
  <r>
    <s v="2024-03-07"/>
    <x v="0"/>
    <x v="0"/>
    <x v="0"/>
    <x v="0"/>
    <n v="173.38"/>
    <m/>
    <n v="-173.38"/>
    <x v="2"/>
  </r>
  <r>
    <s v="2024-03-07"/>
    <x v="0"/>
    <x v="3"/>
    <x v="7"/>
    <x v="0"/>
    <n v="171.88"/>
    <m/>
    <n v="-171.88"/>
    <x v="2"/>
  </r>
  <r>
    <s v="2024-03-08"/>
    <x v="1"/>
    <x v="1"/>
    <x v="9"/>
    <x v="0"/>
    <n v="98.52"/>
    <m/>
    <n v="-98.52"/>
    <x v="2"/>
  </r>
  <r>
    <s v="2024-03-08"/>
    <x v="2"/>
    <x v="6"/>
    <x v="15"/>
    <x v="0"/>
    <n v="35.76"/>
    <m/>
    <n v="-35.76"/>
    <x v="2"/>
  </r>
  <r>
    <s v="2024-03-09"/>
    <x v="1"/>
    <x v="1"/>
    <x v="9"/>
    <x v="0"/>
    <n v="118.99"/>
    <m/>
    <n v="-118.99"/>
    <x v="2"/>
  </r>
  <r>
    <s v="2024-03-09"/>
    <x v="1"/>
    <x v="5"/>
    <x v="11"/>
    <x v="0"/>
    <n v="208.45"/>
    <m/>
    <n v="-208.45"/>
    <x v="2"/>
  </r>
  <r>
    <s v="2024-03-10"/>
    <x v="0"/>
    <x v="6"/>
    <x v="15"/>
    <x v="0"/>
    <n v="21.86"/>
    <m/>
    <n v="-21.86"/>
    <x v="2"/>
  </r>
  <r>
    <s v="2024-03-10"/>
    <x v="1"/>
    <x v="1"/>
    <x v="1"/>
    <x v="0"/>
    <n v="10.9"/>
    <m/>
    <n v="-10.9"/>
    <x v="2"/>
  </r>
  <r>
    <s v="2024-03-11"/>
    <x v="1"/>
    <x v="4"/>
    <x v="8"/>
    <x v="0"/>
    <n v="102.63"/>
    <m/>
    <n v="-102.63"/>
    <x v="2"/>
  </r>
  <r>
    <s v="2024-03-12"/>
    <x v="0"/>
    <x v="4"/>
    <x v="5"/>
    <x v="0"/>
    <n v="172.53"/>
    <m/>
    <n v="-172.53"/>
    <x v="2"/>
  </r>
  <r>
    <s v="2024-03-12"/>
    <x v="1"/>
    <x v="2"/>
    <x v="14"/>
    <x v="0"/>
    <n v="11.44"/>
    <m/>
    <n v="-11.44"/>
    <x v="2"/>
  </r>
  <r>
    <s v="2024-03-13"/>
    <x v="0"/>
    <x v="2"/>
    <x v="12"/>
    <x v="0"/>
    <n v="170.26"/>
    <m/>
    <n v="-170.26"/>
    <x v="2"/>
  </r>
  <r>
    <s v="2024-03-14"/>
    <x v="1"/>
    <x v="6"/>
    <x v="15"/>
    <x v="0"/>
    <n v="84.04"/>
    <m/>
    <n v="-84.04"/>
    <x v="2"/>
  </r>
  <r>
    <s v="2024-03-15"/>
    <x v="1"/>
    <x v="5"/>
    <x v="11"/>
    <x v="0"/>
    <n v="190"/>
    <m/>
    <n v="-190"/>
    <x v="2"/>
  </r>
  <r>
    <s v="2024-03-15"/>
    <x v="1"/>
    <x v="4"/>
    <x v="5"/>
    <x v="0"/>
    <n v="70.709999999999994"/>
    <m/>
    <n v="-70.709999999999994"/>
    <x v="2"/>
  </r>
  <r>
    <s v="2024-03-15"/>
    <x v="1"/>
    <x v="5"/>
    <x v="6"/>
    <x v="0"/>
    <n v="190.56"/>
    <m/>
    <n v="-190.56"/>
    <x v="2"/>
  </r>
  <r>
    <s v="2024-03-16"/>
    <x v="1"/>
    <x v="4"/>
    <x v="5"/>
    <x v="0"/>
    <n v="10.9"/>
    <m/>
    <n v="-10.9"/>
    <x v="2"/>
  </r>
  <r>
    <s v="2024-03-17"/>
    <x v="1"/>
    <x v="0"/>
    <x v="0"/>
    <x v="0"/>
    <n v="229.97"/>
    <m/>
    <n v="-229.97"/>
    <x v="2"/>
  </r>
  <r>
    <s v="2024-03-17"/>
    <x v="1"/>
    <x v="0"/>
    <x v="0"/>
    <x v="0"/>
    <n v="237.91"/>
    <m/>
    <n v="-237.91"/>
    <x v="2"/>
  </r>
  <r>
    <s v="2024-03-18"/>
    <x v="0"/>
    <x v="5"/>
    <x v="13"/>
    <x v="0"/>
    <n v="32.25"/>
    <m/>
    <n v="-32.25"/>
    <x v="2"/>
  </r>
  <r>
    <s v="2024-03-19"/>
    <x v="1"/>
    <x v="2"/>
    <x v="12"/>
    <x v="0"/>
    <n v="70.09"/>
    <m/>
    <n v="-70.09"/>
    <x v="2"/>
  </r>
  <r>
    <s v="2024-03-19"/>
    <x v="0"/>
    <x v="4"/>
    <x v="8"/>
    <x v="0"/>
    <n v="182.36"/>
    <m/>
    <n v="-182.36"/>
    <x v="2"/>
  </r>
  <r>
    <s v="2024-03-19"/>
    <x v="0"/>
    <x v="4"/>
    <x v="8"/>
    <x v="0"/>
    <n v="124.69"/>
    <m/>
    <n v="-124.69"/>
    <x v="2"/>
  </r>
  <r>
    <s v="2024-03-20"/>
    <x v="1"/>
    <x v="3"/>
    <x v="7"/>
    <x v="0"/>
    <n v="16.23"/>
    <m/>
    <n v="-16.23"/>
    <x v="2"/>
  </r>
  <r>
    <s v="2024-03-21"/>
    <x v="1"/>
    <x v="6"/>
    <x v="10"/>
    <x v="0"/>
    <n v="166.86"/>
    <m/>
    <n v="-166.86"/>
    <x v="2"/>
  </r>
  <r>
    <s v="2024-03-21"/>
    <x v="0"/>
    <x v="5"/>
    <x v="13"/>
    <x v="0"/>
    <n v="128.66"/>
    <m/>
    <n v="-128.66"/>
    <x v="2"/>
  </r>
  <r>
    <s v="2024-03-21"/>
    <x v="0"/>
    <x v="5"/>
    <x v="11"/>
    <x v="0"/>
    <n v="185.28"/>
    <m/>
    <n v="-185.28"/>
    <x v="2"/>
  </r>
  <r>
    <s v="2024-03-22"/>
    <x v="0"/>
    <x v="1"/>
    <x v="9"/>
    <x v="0"/>
    <n v="117.01"/>
    <m/>
    <n v="-117.01"/>
    <x v="2"/>
  </r>
  <r>
    <s v="2024-03-22"/>
    <x v="0"/>
    <x v="2"/>
    <x v="2"/>
    <x v="0"/>
    <n v="222.25"/>
    <m/>
    <n v="-222.25"/>
    <x v="2"/>
  </r>
  <r>
    <s v="2024-03-22"/>
    <x v="0"/>
    <x v="3"/>
    <x v="7"/>
    <x v="0"/>
    <n v="124.16"/>
    <m/>
    <n v="-124.16"/>
    <x v="2"/>
  </r>
  <r>
    <s v="2024-03-23"/>
    <x v="1"/>
    <x v="1"/>
    <x v="9"/>
    <x v="0"/>
    <n v="96.19"/>
    <m/>
    <n v="-96.19"/>
    <x v="2"/>
  </r>
  <r>
    <s v="2024-03-23"/>
    <x v="0"/>
    <x v="5"/>
    <x v="13"/>
    <x v="0"/>
    <n v="99.35"/>
    <m/>
    <n v="-99.35"/>
    <x v="2"/>
  </r>
  <r>
    <s v="2024-03-23"/>
    <x v="1"/>
    <x v="2"/>
    <x v="2"/>
    <x v="0"/>
    <n v="229.36"/>
    <m/>
    <n v="-229.36"/>
    <x v="2"/>
  </r>
  <r>
    <s v="2024-03-24"/>
    <x v="0"/>
    <x v="4"/>
    <x v="8"/>
    <x v="0"/>
    <n v="51.97"/>
    <m/>
    <n v="-51.97"/>
    <x v="2"/>
  </r>
  <r>
    <s v="2024-03-25"/>
    <x v="1"/>
    <x v="4"/>
    <x v="8"/>
    <x v="0"/>
    <n v="186.89"/>
    <m/>
    <n v="-186.89"/>
    <x v="2"/>
  </r>
  <r>
    <s v="2024-03-25"/>
    <x v="0"/>
    <x v="0"/>
    <x v="0"/>
    <x v="0"/>
    <n v="131.69999999999999"/>
    <m/>
    <n v="-131.69999999999999"/>
    <x v="2"/>
  </r>
  <r>
    <s v="2024-03-26"/>
    <x v="0"/>
    <x v="2"/>
    <x v="14"/>
    <x v="0"/>
    <n v="177.42"/>
    <m/>
    <n v="-177.42"/>
    <x v="2"/>
  </r>
  <r>
    <s v="2024-03-26"/>
    <x v="2"/>
    <x v="6"/>
    <x v="10"/>
    <x v="0"/>
    <n v="181.95"/>
    <m/>
    <n v="-181.95"/>
    <x v="2"/>
  </r>
  <r>
    <s v="2024-03-27"/>
    <x v="0"/>
    <x v="2"/>
    <x v="12"/>
    <x v="0"/>
    <n v="69.48"/>
    <m/>
    <n v="-69.48"/>
    <x v="2"/>
  </r>
  <r>
    <s v="2024-03-28"/>
    <x v="1"/>
    <x v="5"/>
    <x v="11"/>
    <x v="0"/>
    <n v="188.13"/>
    <m/>
    <n v="-188.13"/>
    <x v="2"/>
  </r>
  <r>
    <s v="2024-03-28"/>
    <x v="0"/>
    <x v="2"/>
    <x v="14"/>
    <x v="0"/>
    <n v="132.11000000000001"/>
    <m/>
    <n v="-132.11000000000001"/>
    <x v="2"/>
  </r>
  <r>
    <s v="2024-03-28"/>
    <x v="0"/>
    <x v="7"/>
    <x v="16"/>
    <x v="1"/>
    <m/>
    <n v="7461"/>
    <n v="7461"/>
    <x v="2"/>
  </r>
  <r>
    <s v="2024-04-02"/>
    <x v="0"/>
    <x v="4"/>
    <x v="5"/>
    <x v="0"/>
    <n v="29.1"/>
    <m/>
    <n v="-29.1"/>
    <x v="3"/>
  </r>
  <r>
    <s v="2024-04-02"/>
    <x v="0"/>
    <x v="2"/>
    <x v="12"/>
    <x v="0"/>
    <n v="71.430000000000007"/>
    <m/>
    <n v="-71.430000000000007"/>
    <x v="3"/>
  </r>
  <r>
    <s v="2024-04-02"/>
    <x v="1"/>
    <x v="4"/>
    <x v="5"/>
    <x v="0"/>
    <n v="130.52000000000001"/>
    <m/>
    <n v="-130.52000000000001"/>
    <x v="3"/>
  </r>
  <r>
    <s v="2024-04-03"/>
    <x v="0"/>
    <x v="5"/>
    <x v="6"/>
    <x v="0"/>
    <n v="127.44"/>
    <m/>
    <n v="-127.44"/>
    <x v="3"/>
  </r>
  <r>
    <s v="2024-04-05"/>
    <x v="1"/>
    <x v="0"/>
    <x v="4"/>
    <x v="0"/>
    <n v="232.81"/>
    <m/>
    <n v="-232.81"/>
    <x v="3"/>
  </r>
  <r>
    <s v="2024-04-05"/>
    <x v="1"/>
    <x v="2"/>
    <x v="14"/>
    <x v="0"/>
    <n v="88.08"/>
    <m/>
    <n v="-88.08"/>
    <x v="3"/>
  </r>
  <r>
    <s v="2024-04-06"/>
    <x v="0"/>
    <x v="2"/>
    <x v="14"/>
    <x v="0"/>
    <n v="153.91999999999999"/>
    <m/>
    <n v="-153.91999999999999"/>
    <x v="3"/>
  </r>
  <r>
    <s v="2024-04-06"/>
    <x v="1"/>
    <x v="5"/>
    <x v="13"/>
    <x v="0"/>
    <n v="152.76"/>
    <m/>
    <n v="-152.76"/>
    <x v="3"/>
  </r>
  <r>
    <s v="2024-04-07"/>
    <x v="0"/>
    <x v="0"/>
    <x v="0"/>
    <x v="0"/>
    <n v="108.89"/>
    <m/>
    <n v="-108.89"/>
    <x v="3"/>
  </r>
  <r>
    <s v="2024-04-07"/>
    <x v="0"/>
    <x v="2"/>
    <x v="2"/>
    <x v="0"/>
    <n v="211.35"/>
    <m/>
    <n v="-211.35"/>
    <x v="3"/>
  </r>
  <r>
    <s v="2024-04-08"/>
    <x v="1"/>
    <x v="5"/>
    <x v="6"/>
    <x v="0"/>
    <n v="237.09"/>
    <m/>
    <n v="-237.09"/>
    <x v="3"/>
  </r>
  <r>
    <s v="2024-04-08"/>
    <x v="0"/>
    <x v="5"/>
    <x v="6"/>
    <x v="0"/>
    <n v="38.229999999999997"/>
    <m/>
    <n v="-38.229999999999997"/>
    <x v="3"/>
  </r>
  <r>
    <s v="2024-04-08"/>
    <x v="0"/>
    <x v="0"/>
    <x v="0"/>
    <x v="0"/>
    <n v="42.13"/>
    <m/>
    <n v="-42.13"/>
    <x v="3"/>
  </r>
  <r>
    <s v="2024-04-08"/>
    <x v="0"/>
    <x v="1"/>
    <x v="9"/>
    <x v="0"/>
    <n v="195.25"/>
    <m/>
    <n v="-195.25"/>
    <x v="3"/>
  </r>
  <r>
    <s v="2024-04-08"/>
    <x v="1"/>
    <x v="5"/>
    <x v="6"/>
    <x v="0"/>
    <n v="49.1"/>
    <m/>
    <n v="-49.1"/>
    <x v="3"/>
  </r>
  <r>
    <s v="2024-04-09"/>
    <x v="1"/>
    <x v="1"/>
    <x v="9"/>
    <x v="0"/>
    <n v="90.55"/>
    <m/>
    <n v="-90.55"/>
    <x v="3"/>
  </r>
  <r>
    <s v="2024-04-09"/>
    <x v="1"/>
    <x v="6"/>
    <x v="15"/>
    <x v="0"/>
    <n v="161.56"/>
    <m/>
    <n v="-161.56"/>
    <x v="3"/>
  </r>
  <r>
    <s v="2024-04-09"/>
    <x v="1"/>
    <x v="2"/>
    <x v="14"/>
    <x v="0"/>
    <n v="26.06"/>
    <m/>
    <n v="-26.06"/>
    <x v="3"/>
  </r>
  <r>
    <s v="2024-04-10"/>
    <x v="1"/>
    <x v="3"/>
    <x v="7"/>
    <x v="0"/>
    <n v="55.12"/>
    <m/>
    <n v="-55.12"/>
    <x v="3"/>
  </r>
  <r>
    <s v="2024-04-11"/>
    <x v="1"/>
    <x v="2"/>
    <x v="14"/>
    <x v="0"/>
    <n v="37.08"/>
    <m/>
    <n v="-37.08"/>
    <x v="3"/>
  </r>
  <r>
    <s v="2024-04-11"/>
    <x v="1"/>
    <x v="2"/>
    <x v="14"/>
    <x v="0"/>
    <n v="123.29"/>
    <m/>
    <n v="-123.29"/>
    <x v="3"/>
  </r>
  <r>
    <s v="2024-04-11"/>
    <x v="1"/>
    <x v="1"/>
    <x v="9"/>
    <x v="0"/>
    <n v="205.23"/>
    <m/>
    <n v="-205.23"/>
    <x v="3"/>
  </r>
  <r>
    <s v="2024-04-13"/>
    <x v="1"/>
    <x v="3"/>
    <x v="3"/>
    <x v="0"/>
    <n v="55.58"/>
    <m/>
    <n v="-55.58"/>
    <x v="3"/>
  </r>
  <r>
    <s v="2024-04-14"/>
    <x v="1"/>
    <x v="5"/>
    <x v="11"/>
    <x v="0"/>
    <n v="91.86"/>
    <m/>
    <n v="-91.86"/>
    <x v="3"/>
  </r>
  <r>
    <s v="2024-04-14"/>
    <x v="1"/>
    <x v="2"/>
    <x v="2"/>
    <x v="0"/>
    <n v="47.87"/>
    <m/>
    <n v="-47.87"/>
    <x v="3"/>
  </r>
  <r>
    <s v="2024-04-14"/>
    <x v="1"/>
    <x v="6"/>
    <x v="15"/>
    <x v="0"/>
    <n v="7.15"/>
    <m/>
    <n v="-7.15"/>
    <x v="3"/>
  </r>
  <r>
    <s v="2024-04-15"/>
    <x v="1"/>
    <x v="4"/>
    <x v="5"/>
    <x v="0"/>
    <n v="103.31"/>
    <m/>
    <n v="-103.31"/>
    <x v="3"/>
  </r>
  <r>
    <s v="2024-04-15"/>
    <x v="0"/>
    <x v="0"/>
    <x v="0"/>
    <x v="0"/>
    <n v="131.57"/>
    <m/>
    <n v="-131.57"/>
    <x v="3"/>
  </r>
  <r>
    <s v="2024-04-16"/>
    <x v="0"/>
    <x v="0"/>
    <x v="0"/>
    <x v="0"/>
    <n v="156.54"/>
    <m/>
    <n v="-156.54"/>
    <x v="3"/>
  </r>
  <r>
    <s v="2024-04-18"/>
    <x v="0"/>
    <x v="0"/>
    <x v="0"/>
    <x v="0"/>
    <n v="163.35"/>
    <m/>
    <n v="-163.35"/>
    <x v="3"/>
  </r>
  <r>
    <s v="2024-04-18"/>
    <x v="1"/>
    <x v="3"/>
    <x v="7"/>
    <x v="0"/>
    <n v="148.72"/>
    <m/>
    <n v="-148.72"/>
    <x v="3"/>
  </r>
  <r>
    <s v="2024-04-18"/>
    <x v="1"/>
    <x v="4"/>
    <x v="5"/>
    <x v="0"/>
    <n v="97.04"/>
    <m/>
    <n v="-97.04"/>
    <x v="3"/>
  </r>
  <r>
    <s v="2024-04-18"/>
    <x v="0"/>
    <x v="5"/>
    <x v="11"/>
    <x v="0"/>
    <n v="20.99"/>
    <m/>
    <n v="-20.99"/>
    <x v="3"/>
  </r>
  <r>
    <s v="2024-04-19"/>
    <x v="0"/>
    <x v="5"/>
    <x v="13"/>
    <x v="0"/>
    <n v="97.66"/>
    <m/>
    <n v="-97.66"/>
    <x v="3"/>
  </r>
  <r>
    <s v="2024-04-20"/>
    <x v="1"/>
    <x v="3"/>
    <x v="3"/>
    <x v="0"/>
    <n v="214.52"/>
    <m/>
    <n v="-214.52"/>
    <x v="3"/>
  </r>
  <r>
    <s v="2024-04-21"/>
    <x v="2"/>
    <x v="6"/>
    <x v="15"/>
    <x v="0"/>
    <n v="129.08000000000001"/>
    <m/>
    <n v="-129.08000000000001"/>
    <x v="3"/>
  </r>
  <r>
    <s v="2024-04-21"/>
    <x v="0"/>
    <x v="3"/>
    <x v="3"/>
    <x v="0"/>
    <n v="70.7"/>
    <m/>
    <n v="-70.7"/>
    <x v="3"/>
  </r>
  <r>
    <s v="2024-04-21"/>
    <x v="1"/>
    <x v="3"/>
    <x v="7"/>
    <x v="0"/>
    <n v="52.08"/>
    <m/>
    <n v="-52.08"/>
    <x v="3"/>
  </r>
  <r>
    <s v="2024-04-21"/>
    <x v="0"/>
    <x v="2"/>
    <x v="14"/>
    <x v="0"/>
    <n v="49.07"/>
    <m/>
    <n v="-49.07"/>
    <x v="3"/>
  </r>
  <r>
    <s v="2024-04-22"/>
    <x v="1"/>
    <x v="5"/>
    <x v="6"/>
    <x v="0"/>
    <n v="9.41"/>
    <m/>
    <n v="-9.41"/>
    <x v="3"/>
  </r>
  <r>
    <s v="2024-04-23"/>
    <x v="1"/>
    <x v="0"/>
    <x v="4"/>
    <x v="0"/>
    <n v="135.77000000000001"/>
    <m/>
    <n v="-135.77000000000001"/>
    <x v="3"/>
  </r>
  <r>
    <s v="2024-04-23"/>
    <x v="0"/>
    <x v="3"/>
    <x v="7"/>
    <x v="0"/>
    <n v="166.29"/>
    <m/>
    <n v="-166.29"/>
    <x v="3"/>
  </r>
  <r>
    <s v="2024-04-23"/>
    <x v="1"/>
    <x v="5"/>
    <x v="11"/>
    <x v="0"/>
    <n v="227.68"/>
    <m/>
    <n v="-227.68"/>
    <x v="3"/>
  </r>
  <r>
    <s v="2024-04-23"/>
    <x v="0"/>
    <x v="2"/>
    <x v="12"/>
    <x v="0"/>
    <n v="115.9"/>
    <m/>
    <n v="-115.9"/>
    <x v="3"/>
  </r>
  <r>
    <s v="2024-04-26"/>
    <x v="1"/>
    <x v="4"/>
    <x v="5"/>
    <x v="0"/>
    <n v="221.72"/>
    <m/>
    <n v="-221.72"/>
    <x v="3"/>
  </r>
  <r>
    <s v="2024-04-27"/>
    <x v="1"/>
    <x v="2"/>
    <x v="2"/>
    <x v="0"/>
    <n v="65.599999999999994"/>
    <m/>
    <n v="-65.599999999999994"/>
    <x v="3"/>
  </r>
  <r>
    <s v="2024-04-27"/>
    <x v="1"/>
    <x v="0"/>
    <x v="0"/>
    <x v="0"/>
    <n v="152.27000000000001"/>
    <m/>
    <n v="-152.27000000000001"/>
    <x v="3"/>
  </r>
  <r>
    <s v="2024-04-27"/>
    <x v="1"/>
    <x v="6"/>
    <x v="10"/>
    <x v="0"/>
    <n v="157.47"/>
    <m/>
    <n v="-157.47"/>
    <x v="3"/>
  </r>
  <r>
    <s v="2024-04-27"/>
    <x v="1"/>
    <x v="3"/>
    <x v="3"/>
    <x v="0"/>
    <n v="125.86"/>
    <m/>
    <n v="-125.86"/>
    <x v="3"/>
  </r>
  <r>
    <s v="2024-04-28"/>
    <x v="0"/>
    <x v="7"/>
    <x v="16"/>
    <x v="1"/>
    <m/>
    <n v="7461"/>
    <n v="7461"/>
    <x v="3"/>
  </r>
  <r>
    <s v="2024-04-28"/>
    <x v="0"/>
    <x v="1"/>
    <x v="1"/>
    <x v="0"/>
    <n v="15.93"/>
    <m/>
    <n v="-15.93"/>
    <x v="3"/>
  </r>
  <r>
    <s v="2024-05-01"/>
    <x v="1"/>
    <x v="2"/>
    <x v="14"/>
    <x v="0"/>
    <n v="108.11"/>
    <m/>
    <n v="-108.11"/>
    <x v="4"/>
  </r>
  <r>
    <s v="2024-05-01"/>
    <x v="0"/>
    <x v="2"/>
    <x v="14"/>
    <x v="0"/>
    <n v="130.1"/>
    <m/>
    <n v="-130.1"/>
    <x v="4"/>
  </r>
  <r>
    <s v="2024-05-02"/>
    <x v="0"/>
    <x v="3"/>
    <x v="7"/>
    <x v="0"/>
    <n v="142.13999999999999"/>
    <m/>
    <n v="-142.13999999999999"/>
    <x v="4"/>
  </r>
  <r>
    <s v="2024-05-02"/>
    <x v="1"/>
    <x v="4"/>
    <x v="8"/>
    <x v="0"/>
    <n v="24.84"/>
    <m/>
    <n v="-24.84"/>
    <x v="4"/>
  </r>
  <r>
    <s v="2024-05-02"/>
    <x v="1"/>
    <x v="4"/>
    <x v="8"/>
    <x v="0"/>
    <n v="33.119999999999997"/>
    <m/>
    <n v="-33.119999999999997"/>
    <x v="4"/>
  </r>
  <r>
    <s v="2024-05-04"/>
    <x v="0"/>
    <x v="1"/>
    <x v="1"/>
    <x v="0"/>
    <n v="232.83"/>
    <m/>
    <n v="-232.83"/>
    <x v="4"/>
  </r>
  <r>
    <s v="2024-05-04"/>
    <x v="0"/>
    <x v="5"/>
    <x v="6"/>
    <x v="0"/>
    <n v="113.79"/>
    <m/>
    <n v="-113.79"/>
    <x v="4"/>
  </r>
  <r>
    <s v="2024-05-04"/>
    <x v="0"/>
    <x v="2"/>
    <x v="12"/>
    <x v="0"/>
    <n v="208.04"/>
    <m/>
    <n v="-208.04"/>
    <x v="4"/>
  </r>
  <r>
    <s v="2024-05-05"/>
    <x v="2"/>
    <x v="6"/>
    <x v="15"/>
    <x v="0"/>
    <n v="67.05"/>
    <m/>
    <n v="-67.05"/>
    <x v="4"/>
  </r>
  <r>
    <s v="2024-05-08"/>
    <x v="0"/>
    <x v="5"/>
    <x v="6"/>
    <x v="0"/>
    <n v="197.33"/>
    <m/>
    <n v="-197.33"/>
    <x v="4"/>
  </r>
  <r>
    <s v="2024-05-08"/>
    <x v="1"/>
    <x v="3"/>
    <x v="7"/>
    <x v="0"/>
    <n v="23.56"/>
    <m/>
    <n v="-23.56"/>
    <x v="4"/>
  </r>
  <r>
    <s v="2024-05-09"/>
    <x v="1"/>
    <x v="5"/>
    <x v="11"/>
    <x v="0"/>
    <n v="25.64"/>
    <m/>
    <n v="-25.64"/>
    <x v="4"/>
  </r>
  <r>
    <s v="2024-05-09"/>
    <x v="1"/>
    <x v="5"/>
    <x v="6"/>
    <x v="0"/>
    <n v="228.15"/>
    <m/>
    <n v="-228.15"/>
    <x v="4"/>
  </r>
  <r>
    <s v="2024-05-09"/>
    <x v="1"/>
    <x v="6"/>
    <x v="10"/>
    <x v="0"/>
    <n v="160.52000000000001"/>
    <m/>
    <n v="-160.52000000000001"/>
    <x v="4"/>
  </r>
  <r>
    <s v="2024-05-09"/>
    <x v="0"/>
    <x v="0"/>
    <x v="4"/>
    <x v="0"/>
    <n v="128.01"/>
    <m/>
    <n v="-128.01"/>
    <x v="4"/>
  </r>
  <r>
    <s v="2024-05-10"/>
    <x v="1"/>
    <x v="1"/>
    <x v="1"/>
    <x v="0"/>
    <n v="18.48"/>
    <m/>
    <n v="-18.48"/>
    <x v="4"/>
  </r>
  <r>
    <s v="2024-05-10"/>
    <x v="1"/>
    <x v="4"/>
    <x v="5"/>
    <x v="0"/>
    <n v="228.18"/>
    <m/>
    <n v="-228.18"/>
    <x v="4"/>
  </r>
  <r>
    <s v="2024-05-11"/>
    <x v="1"/>
    <x v="5"/>
    <x v="6"/>
    <x v="0"/>
    <n v="63.8"/>
    <m/>
    <n v="-63.8"/>
    <x v="4"/>
  </r>
  <r>
    <s v="2024-05-11"/>
    <x v="0"/>
    <x v="5"/>
    <x v="11"/>
    <x v="0"/>
    <n v="50.99"/>
    <m/>
    <n v="-50.99"/>
    <x v="4"/>
  </r>
  <r>
    <s v="2024-05-11"/>
    <x v="0"/>
    <x v="2"/>
    <x v="14"/>
    <x v="0"/>
    <n v="178.21"/>
    <m/>
    <n v="-178.21"/>
    <x v="4"/>
  </r>
  <r>
    <s v="2024-05-11"/>
    <x v="1"/>
    <x v="1"/>
    <x v="1"/>
    <x v="0"/>
    <n v="193.61"/>
    <m/>
    <n v="-193.61"/>
    <x v="4"/>
  </r>
  <r>
    <s v="2024-05-12"/>
    <x v="1"/>
    <x v="2"/>
    <x v="2"/>
    <x v="0"/>
    <n v="71.87"/>
    <m/>
    <n v="-71.87"/>
    <x v="4"/>
  </r>
  <r>
    <s v="2024-05-13"/>
    <x v="2"/>
    <x v="6"/>
    <x v="15"/>
    <x v="0"/>
    <n v="169"/>
    <m/>
    <n v="-169"/>
    <x v="4"/>
  </r>
  <r>
    <s v="2024-05-13"/>
    <x v="1"/>
    <x v="2"/>
    <x v="2"/>
    <x v="0"/>
    <n v="65.03"/>
    <m/>
    <n v="-65.03"/>
    <x v="4"/>
  </r>
  <r>
    <s v="2024-05-14"/>
    <x v="1"/>
    <x v="0"/>
    <x v="0"/>
    <x v="0"/>
    <n v="63.69"/>
    <m/>
    <n v="-63.69"/>
    <x v="4"/>
  </r>
  <r>
    <s v="2024-05-14"/>
    <x v="1"/>
    <x v="2"/>
    <x v="2"/>
    <x v="0"/>
    <n v="94.13"/>
    <m/>
    <n v="-94.13"/>
    <x v="4"/>
  </r>
  <r>
    <s v="2024-05-15"/>
    <x v="1"/>
    <x v="3"/>
    <x v="7"/>
    <x v="0"/>
    <n v="122.82"/>
    <m/>
    <n v="-122.82"/>
    <x v="4"/>
  </r>
  <r>
    <s v="2024-05-16"/>
    <x v="1"/>
    <x v="5"/>
    <x v="13"/>
    <x v="0"/>
    <n v="56.13"/>
    <m/>
    <n v="-56.13"/>
    <x v="4"/>
  </r>
  <r>
    <s v="2024-05-16"/>
    <x v="0"/>
    <x v="2"/>
    <x v="14"/>
    <x v="0"/>
    <n v="161.96"/>
    <m/>
    <n v="-161.96"/>
    <x v="4"/>
  </r>
  <r>
    <s v="2024-05-16"/>
    <x v="0"/>
    <x v="3"/>
    <x v="7"/>
    <x v="0"/>
    <n v="147.30000000000001"/>
    <m/>
    <n v="-147.30000000000001"/>
    <x v="4"/>
  </r>
  <r>
    <s v="2024-05-16"/>
    <x v="1"/>
    <x v="3"/>
    <x v="3"/>
    <x v="0"/>
    <n v="73.819999999999993"/>
    <m/>
    <n v="-73.819999999999993"/>
    <x v="4"/>
  </r>
  <r>
    <s v="2024-05-17"/>
    <x v="1"/>
    <x v="4"/>
    <x v="8"/>
    <x v="0"/>
    <n v="13.62"/>
    <m/>
    <n v="-13.62"/>
    <x v="4"/>
  </r>
  <r>
    <s v="2024-05-17"/>
    <x v="0"/>
    <x v="5"/>
    <x v="13"/>
    <x v="0"/>
    <n v="84.19"/>
    <m/>
    <n v="-84.19"/>
    <x v="4"/>
  </r>
  <r>
    <s v="2024-05-17"/>
    <x v="0"/>
    <x v="5"/>
    <x v="13"/>
    <x v="0"/>
    <n v="12.72"/>
    <m/>
    <n v="-12.72"/>
    <x v="4"/>
  </r>
  <r>
    <s v="2024-05-17"/>
    <x v="0"/>
    <x v="4"/>
    <x v="8"/>
    <x v="0"/>
    <n v="18.739999999999998"/>
    <m/>
    <n v="-18.739999999999998"/>
    <x v="4"/>
  </r>
  <r>
    <s v="2024-05-18"/>
    <x v="1"/>
    <x v="3"/>
    <x v="7"/>
    <x v="0"/>
    <n v="180.85"/>
    <m/>
    <n v="-180.85"/>
    <x v="4"/>
  </r>
  <r>
    <s v="2024-05-18"/>
    <x v="0"/>
    <x v="1"/>
    <x v="1"/>
    <x v="0"/>
    <n v="231.77"/>
    <m/>
    <n v="-231.77"/>
    <x v="4"/>
  </r>
  <r>
    <s v="2024-05-20"/>
    <x v="1"/>
    <x v="5"/>
    <x v="6"/>
    <x v="0"/>
    <n v="88.97"/>
    <m/>
    <n v="-88.97"/>
    <x v="4"/>
  </r>
  <r>
    <s v="2024-05-20"/>
    <x v="2"/>
    <x v="6"/>
    <x v="15"/>
    <x v="0"/>
    <n v="29.37"/>
    <m/>
    <n v="-29.37"/>
    <x v="4"/>
  </r>
  <r>
    <s v="2024-05-21"/>
    <x v="1"/>
    <x v="2"/>
    <x v="2"/>
    <x v="0"/>
    <n v="108.1"/>
    <m/>
    <n v="-108.1"/>
    <x v="4"/>
  </r>
  <r>
    <s v="2024-05-21"/>
    <x v="0"/>
    <x v="2"/>
    <x v="12"/>
    <x v="0"/>
    <n v="11.55"/>
    <m/>
    <n v="-11.55"/>
    <x v="4"/>
  </r>
  <r>
    <s v="2024-05-22"/>
    <x v="0"/>
    <x v="2"/>
    <x v="14"/>
    <x v="0"/>
    <n v="139.4"/>
    <m/>
    <n v="-139.4"/>
    <x v="4"/>
  </r>
  <r>
    <s v="2024-05-23"/>
    <x v="0"/>
    <x v="0"/>
    <x v="0"/>
    <x v="0"/>
    <n v="130.80000000000001"/>
    <m/>
    <n v="-130.80000000000001"/>
    <x v="4"/>
  </r>
  <r>
    <s v="2024-05-23"/>
    <x v="0"/>
    <x v="3"/>
    <x v="3"/>
    <x v="0"/>
    <n v="233.01"/>
    <m/>
    <n v="-233.01"/>
    <x v="4"/>
  </r>
  <r>
    <s v="2024-05-24"/>
    <x v="0"/>
    <x v="2"/>
    <x v="12"/>
    <x v="0"/>
    <n v="45.87"/>
    <m/>
    <n v="-45.87"/>
    <x v="4"/>
  </r>
  <r>
    <s v="2024-05-24"/>
    <x v="1"/>
    <x v="0"/>
    <x v="4"/>
    <x v="0"/>
    <n v="14.6"/>
    <m/>
    <n v="-14.6"/>
    <x v="4"/>
  </r>
  <r>
    <s v="2024-05-25"/>
    <x v="1"/>
    <x v="5"/>
    <x v="6"/>
    <x v="0"/>
    <n v="20.54"/>
    <m/>
    <n v="-20.54"/>
    <x v="4"/>
  </r>
  <r>
    <s v="2024-05-26"/>
    <x v="0"/>
    <x v="2"/>
    <x v="12"/>
    <x v="0"/>
    <n v="205.06"/>
    <m/>
    <n v="-205.06"/>
    <x v="4"/>
  </r>
  <r>
    <s v="2024-05-27"/>
    <x v="0"/>
    <x v="6"/>
    <x v="15"/>
    <x v="0"/>
    <n v="229.35"/>
    <m/>
    <n v="-229.35"/>
    <x v="4"/>
  </r>
  <r>
    <s v="2024-05-28"/>
    <x v="0"/>
    <x v="0"/>
    <x v="0"/>
    <x v="0"/>
    <n v="208.59"/>
    <m/>
    <n v="-208.59"/>
    <x v="4"/>
  </r>
  <r>
    <s v="2024-05-28"/>
    <x v="0"/>
    <x v="7"/>
    <x v="16"/>
    <x v="1"/>
    <m/>
    <n v="7461"/>
    <n v="7461"/>
    <x v="4"/>
  </r>
  <r>
    <s v="2024-06-01"/>
    <x v="0"/>
    <x v="2"/>
    <x v="12"/>
    <x v="0"/>
    <n v="130.22999999999999"/>
    <m/>
    <n v="-130.22999999999999"/>
    <x v="5"/>
  </r>
  <r>
    <s v="2024-06-01"/>
    <x v="0"/>
    <x v="5"/>
    <x v="6"/>
    <x v="0"/>
    <n v="172.83"/>
    <m/>
    <n v="-172.83"/>
    <x v="5"/>
  </r>
  <r>
    <s v="2024-06-02"/>
    <x v="1"/>
    <x v="1"/>
    <x v="1"/>
    <x v="0"/>
    <n v="133.85"/>
    <m/>
    <n v="-133.85"/>
    <x v="5"/>
  </r>
  <r>
    <s v="2024-06-02"/>
    <x v="0"/>
    <x v="2"/>
    <x v="12"/>
    <x v="0"/>
    <n v="216.59"/>
    <m/>
    <n v="-216.59"/>
    <x v="5"/>
  </r>
  <r>
    <s v="2024-06-03"/>
    <x v="1"/>
    <x v="5"/>
    <x v="13"/>
    <x v="0"/>
    <n v="84.26"/>
    <m/>
    <n v="-84.26"/>
    <x v="5"/>
  </r>
  <r>
    <s v="2024-06-04"/>
    <x v="1"/>
    <x v="0"/>
    <x v="4"/>
    <x v="0"/>
    <n v="34.869999999999997"/>
    <m/>
    <n v="-34.869999999999997"/>
    <x v="5"/>
  </r>
  <r>
    <s v="2024-06-04"/>
    <x v="0"/>
    <x v="5"/>
    <x v="13"/>
    <x v="0"/>
    <n v="104.93"/>
    <m/>
    <n v="-104.93"/>
    <x v="5"/>
  </r>
  <r>
    <s v="2024-06-05"/>
    <x v="0"/>
    <x v="0"/>
    <x v="4"/>
    <x v="0"/>
    <n v="24.35"/>
    <m/>
    <n v="-24.35"/>
    <x v="5"/>
  </r>
  <r>
    <s v="2024-06-06"/>
    <x v="0"/>
    <x v="1"/>
    <x v="9"/>
    <x v="0"/>
    <n v="68.53"/>
    <m/>
    <n v="-68.53"/>
    <x v="5"/>
  </r>
  <r>
    <s v="2024-06-07"/>
    <x v="1"/>
    <x v="3"/>
    <x v="7"/>
    <x v="0"/>
    <n v="188.08"/>
    <m/>
    <n v="-188.08"/>
    <x v="5"/>
  </r>
  <r>
    <s v="2024-06-07"/>
    <x v="1"/>
    <x v="5"/>
    <x v="6"/>
    <x v="0"/>
    <n v="40.15"/>
    <m/>
    <n v="-40.15"/>
    <x v="5"/>
  </r>
  <r>
    <s v="2024-06-08"/>
    <x v="0"/>
    <x v="2"/>
    <x v="14"/>
    <x v="0"/>
    <n v="198.42"/>
    <m/>
    <n v="-198.42"/>
    <x v="5"/>
  </r>
  <r>
    <s v="2024-06-08"/>
    <x v="0"/>
    <x v="3"/>
    <x v="7"/>
    <x v="0"/>
    <n v="119.28"/>
    <m/>
    <n v="-119.28"/>
    <x v="5"/>
  </r>
  <r>
    <s v="2024-06-09"/>
    <x v="0"/>
    <x v="4"/>
    <x v="8"/>
    <x v="0"/>
    <n v="188.08"/>
    <m/>
    <n v="-188.08"/>
    <x v="5"/>
  </r>
  <r>
    <s v="2024-06-10"/>
    <x v="0"/>
    <x v="3"/>
    <x v="7"/>
    <x v="0"/>
    <n v="202.26"/>
    <m/>
    <n v="-202.26"/>
    <x v="5"/>
  </r>
  <r>
    <s v="2024-06-11"/>
    <x v="1"/>
    <x v="6"/>
    <x v="15"/>
    <x v="0"/>
    <n v="96.25"/>
    <m/>
    <n v="-96.25"/>
    <x v="5"/>
  </r>
  <r>
    <s v="2024-06-11"/>
    <x v="1"/>
    <x v="6"/>
    <x v="10"/>
    <x v="0"/>
    <n v="226.53"/>
    <m/>
    <n v="-226.53"/>
    <x v="5"/>
  </r>
  <r>
    <s v="2024-06-12"/>
    <x v="1"/>
    <x v="0"/>
    <x v="4"/>
    <x v="0"/>
    <n v="172.45"/>
    <m/>
    <n v="-172.45"/>
    <x v="5"/>
  </r>
  <r>
    <s v="2024-06-13"/>
    <x v="1"/>
    <x v="0"/>
    <x v="4"/>
    <x v="0"/>
    <n v="183.34"/>
    <m/>
    <n v="-183.34"/>
    <x v="5"/>
  </r>
  <r>
    <s v="2024-06-13"/>
    <x v="1"/>
    <x v="5"/>
    <x v="6"/>
    <x v="0"/>
    <n v="183.43"/>
    <m/>
    <n v="-183.43"/>
    <x v="5"/>
  </r>
  <r>
    <s v="2024-06-14"/>
    <x v="1"/>
    <x v="0"/>
    <x v="4"/>
    <x v="0"/>
    <n v="220.83"/>
    <m/>
    <n v="-220.83"/>
    <x v="5"/>
  </r>
  <r>
    <s v="2024-06-14"/>
    <x v="1"/>
    <x v="4"/>
    <x v="8"/>
    <x v="0"/>
    <n v="172.72"/>
    <m/>
    <n v="-172.72"/>
    <x v="5"/>
  </r>
  <r>
    <s v="2024-06-14"/>
    <x v="1"/>
    <x v="2"/>
    <x v="14"/>
    <x v="0"/>
    <n v="29.58"/>
    <m/>
    <n v="-29.58"/>
    <x v="5"/>
  </r>
  <r>
    <s v="2024-06-15"/>
    <x v="0"/>
    <x v="4"/>
    <x v="8"/>
    <x v="0"/>
    <n v="162.77000000000001"/>
    <m/>
    <n v="-162.77000000000001"/>
    <x v="5"/>
  </r>
  <r>
    <s v="2024-06-15"/>
    <x v="0"/>
    <x v="1"/>
    <x v="9"/>
    <x v="0"/>
    <n v="73.3"/>
    <m/>
    <n v="-73.3"/>
    <x v="5"/>
  </r>
  <r>
    <s v="2024-06-15"/>
    <x v="1"/>
    <x v="5"/>
    <x v="6"/>
    <x v="0"/>
    <n v="14"/>
    <m/>
    <n v="-14"/>
    <x v="5"/>
  </r>
  <r>
    <s v="2024-06-15"/>
    <x v="0"/>
    <x v="1"/>
    <x v="9"/>
    <x v="0"/>
    <n v="94.56"/>
    <m/>
    <n v="-94.56"/>
    <x v="5"/>
  </r>
  <r>
    <s v="2024-06-15"/>
    <x v="1"/>
    <x v="0"/>
    <x v="4"/>
    <x v="0"/>
    <n v="43.04"/>
    <m/>
    <n v="-43.04"/>
    <x v="5"/>
  </r>
  <r>
    <s v="2024-06-16"/>
    <x v="1"/>
    <x v="3"/>
    <x v="7"/>
    <x v="0"/>
    <n v="97.74"/>
    <m/>
    <n v="-97.74"/>
    <x v="5"/>
  </r>
  <r>
    <s v="2024-06-16"/>
    <x v="1"/>
    <x v="4"/>
    <x v="8"/>
    <x v="0"/>
    <n v="213.74"/>
    <m/>
    <n v="-213.74"/>
    <x v="5"/>
  </r>
  <r>
    <s v="2024-06-17"/>
    <x v="0"/>
    <x v="1"/>
    <x v="9"/>
    <x v="0"/>
    <n v="56.58"/>
    <m/>
    <n v="-56.58"/>
    <x v="5"/>
  </r>
  <r>
    <s v="2024-06-19"/>
    <x v="0"/>
    <x v="2"/>
    <x v="2"/>
    <x v="0"/>
    <n v="102.86"/>
    <m/>
    <n v="-102.86"/>
    <x v="5"/>
  </r>
  <r>
    <s v="2024-06-19"/>
    <x v="0"/>
    <x v="4"/>
    <x v="8"/>
    <x v="0"/>
    <n v="105.22"/>
    <m/>
    <n v="-105.22"/>
    <x v="5"/>
  </r>
  <r>
    <s v="2024-06-19"/>
    <x v="0"/>
    <x v="5"/>
    <x v="11"/>
    <x v="0"/>
    <n v="21.02"/>
    <m/>
    <n v="-21.02"/>
    <x v="5"/>
  </r>
  <r>
    <s v="2024-06-19"/>
    <x v="0"/>
    <x v="4"/>
    <x v="8"/>
    <x v="0"/>
    <n v="11.11"/>
    <m/>
    <n v="-11.11"/>
    <x v="5"/>
  </r>
  <r>
    <s v="2024-06-19"/>
    <x v="1"/>
    <x v="5"/>
    <x v="11"/>
    <x v="0"/>
    <n v="91.79"/>
    <m/>
    <n v="-91.79"/>
    <x v="5"/>
  </r>
  <r>
    <s v="2024-06-20"/>
    <x v="0"/>
    <x v="5"/>
    <x v="13"/>
    <x v="0"/>
    <n v="76.48"/>
    <m/>
    <n v="-76.48"/>
    <x v="5"/>
  </r>
  <r>
    <s v="2024-06-21"/>
    <x v="0"/>
    <x v="3"/>
    <x v="7"/>
    <x v="0"/>
    <n v="124.76"/>
    <m/>
    <n v="-124.76"/>
    <x v="5"/>
  </r>
  <r>
    <s v="2024-06-21"/>
    <x v="1"/>
    <x v="3"/>
    <x v="3"/>
    <x v="0"/>
    <n v="180.73"/>
    <m/>
    <n v="-180.73"/>
    <x v="5"/>
  </r>
  <r>
    <s v="2024-06-21"/>
    <x v="2"/>
    <x v="6"/>
    <x v="10"/>
    <x v="0"/>
    <n v="99.16"/>
    <m/>
    <n v="-99.16"/>
    <x v="5"/>
  </r>
  <r>
    <s v="2024-06-21"/>
    <x v="1"/>
    <x v="1"/>
    <x v="9"/>
    <x v="0"/>
    <n v="37.76"/>
    <m/>
    <n v="-37.76"/>
    <x v="5"/>
  </r>
  <r>
    <s v="2024-06-22"/>
    <x v="1"/>
    <x v="2"/>
    <x v="14"/>
    <x v="0"/>
    <n v="217.4"/>
    <m/>
    <n v="-217.4"/>
    <x v="5"/>
  </r>
  <r>
    <s v="2024-06-22"/>
    <x v="1"/>
    <x v="3"/>
    <x v="3"/>
    <x v="0"/>
    <n v="60.28"/>
    <m/>
    <n v="-60.28"/>
    <x v="5"/>
  </r>
  <r>
    <s v="2024-06-22"/>
    <x v="1"/>
    <x v="2"/>
    <x v="2"/>
    <x v="0"/>
    <n v="216.38"/>
    <m/>
    <n v="-216.38"/>
    <x v="5"/>
  </r>
  <r>
    <s v="2024-06-24"/>
    <x v="2"/>
    <x v="6"/>
    <x v="10"/>
    <x v="0"/>
    <n v="113.9"/>
    <m/>
    <n v="-113.9"/>
    <x v="5"/>
  </r>
  <r>
    <s v="2024-06-24"/>
    <x v="0"/>
    <x v="5"/>
    <x v="13"/>
    <x v="0"/>
    <n v="132.71"/>
    <m/>
    <n v="-132.71"/>
    <x v="5"/>
  </r>
  <r>
    <s v="2024-06-25"/>
    <x v="1"/>
    <x v="4"/>
    <x v="8"/>
    <x v="0"/>
    <n v="162.79"/>
    <m/>
    <n v="-162.79"/>
    <x v="5"/>
  </r>
  <r>
    <s v="2024-06-25"/>
    <x v="1"/>
    <x v="5"/>
    <x v="6"/>
    <x v="0"/>
    <n v="62.3"/>
    <m/>
    <n v="-62.3"/>
    <x v="5"/>
  </r>
  <r>
    <s v="2024-06-26"/>
    <x v="0"/>
    <x v="3"/>
    <x v="7"/>
    <x v="0"/>
    <n v="210.1"/>
    <m/>
    <n v="-210.1"/>
    <x v="5"/>
  </r>
  <r>
    <s v="2024-06-28"/>
    <x v="0"/>
    <x v="7"/>
    <x v="16"/>
    <x v="1"/>
    <m/>
    <n v="7461"/>
    <n v="7461"/>
    <x v="5"/>
  </r>
  <r>
    <s v="2024-06-28"/>
    <x v="0"/>
    <x v="4"/>
    <x v="5"/>
    <x v="0"/>
    <n v="213.92"/>
    <m/>
    <n v="-213.92"/>
    <x v="5"/>
  </r>
  <r>
    <s v="2024-07-01"/>
    <x v="0"/>
    <x v="3"/>
    <x v="7"/>
    <x v="0"/>
    <n v="35.4"/>
    <m/>
    <n v="-35.4"/>
    <x v="6"/>
  </r>
  <r>
    <s v="2024-07-01"/>
    <x v="1"/>
    <x v="4"/>
    <x v="8"/>
    <x v="0"/>
    <n v="85.9"/>
    <m/>
    <n v="-85.9"/>
    <x v="6"/>
  </r>
  <r>
    <s v="2024-07-01"/>
    <x v="0"/>
    <x v="6"/>
    <x v="15"/>
    <x v="0"/>
    <n v="120.22"/>
    <m/>
    <n v="-120.22"/>
    <x v="6"/>
  </r>
  <r>
    <s v="2024-07-03"/>
    <x v="0"/>
    <x v="5"/>
    <x v="11"/>
    <x v="0"/>
    <n v="109.84"/>
    <m/>
    <n v="-109.84"/>
    <x v="6"/>
  </r>
  <r>
    <s v="2024-07-04"/>
    <x v="1"/>
    <x v="0"/>
    <x v="4"/>
    <x v="0"/>
    <n v="170.94"/>
    <m/>
    <n v="-170.94"/>
    <x v="6"/>
  </r>
  <r>
    <s v="2024-07-04"/>
    <x v="2"/>
    <x v="6"/>
    <x v="10"/>
    <x v="0"/>
    <n v="101.54"/>
    <m/>
    <n v="-101.54"/>
    <x v="6"/>
  </r>
  <r>
    <s v="2024-07-05"/>
    <x v="1"/>
    <x v="2"/>
    <x v="14"/>
    <x v="0"/>
    <n v="155.47999999999999"/>
    <m/>
    <n v="-155.47999999999999"/>
    <x v="6"/>
  </r>
  <r>
    <s v="2024-07-06"/>
    <x v="0"/>
    <x v="0"/>
    <x v="0"/>
    <x v="0"/>
    <n v="215.96"/>
    <m/>
    <n v="-215.96"/>
    <x v="6"/>
  </r>
  <r>
    <s v="2024-07-06"/>
    <x v="0"/>
    <x v="5"/>
    <x v="11"/>
    <x v="0"/>
    <n v="189.16"/>
    <m/>
    <n v="-189.16"/>
    <x v="6"/>
  </r>
  <r>
    <s v="2024-07-06"/>
    <x v="1"/>
    <x v="6"/>
    <x v="10"/>
    <x v="0"/>
    <n v="97.31"/>
    <m/>
    <n v="-97.31"/>
    <x v="6"/>
  </r>
  <r>
    <s v="2024-07-07"/>
    <x v="0"/>
    <x v="6"/>
    <x v="15"/>
    <x v="0"/>
    <n v="133.41"/>
    <m/>
    <n v="-133.41"/>
    <x v="6"/>
  </r>
  <r>
    <s v="2024-07-07"/>
    <x v="1"/>
    <x v="5"/>
    <x v="11"/>
    <x v="0"/>
    <n v="74.25"/>
    <m/>
    <n v="-74.25"/>
    <x v="6"/>
  </r>
  <r>
    <s v="2024-07-07"/>
    <x v="0"/>
    <x v="2"/>
    <x v="2"/>
    <x v="0"/>
    <n v="171.51"/>
    <m/>
    <n v="-171.51"/>
    <x v="6"/>
  </r>
  <r>
    <s v="2024-07-07"/>
    <x v="0"/>
    <x v="6"/>
    <x v="15"/>
    <x v="0"/>
    <n v="48.5"/>
    <m/>
    <n v="-48.5"/>
    <x v="6"/>
  </r>
  <r>
    <s v="2024-07-07"/>
    <x v="1"/>
    <x v="6"/>
    <x v="15"/>
    <x v="0"/>
    <n v="72.959999999999994"/>
    <m/>
    <n v="-72.959999999999994"/>
    <x v="6"/>
  </r>
  <r>
    <s v="2024-07-07"/>
    <x v="1"/>
    <x v="1"/>
    <x v="1"/>
    <x v="0"/>
    <n v="210.08"/>
    <m/>
    <n v="-210.08"/>
    <x v="6"/>
  </r>
  <r>
    <s v="2024-07-08"/>
    <x v="1"/>
    <x v="5"/>
    <x v="13"/>
    <x v="0"/>
    <n v="100.97"/>
    <m/>
    <n v="-100.97"/>
    <x v="6"/>
  </r>
  <r>
    <s v="2024-07-09"/>
    <x v="1"/>
    <x v="5"/>
    <x v="11"/>
    <x v="0"/>
    <n v="101.69"/>
    <m/>
    <n v="-101.69"/>
    <x v="6"/>
  </r>
  <r>
    <s v="2024-07-10"/>
    <x v="1"/>
    <x v="0"/>
    <x v="4"/>
    <x v="0"/>
    <n v="22.75"/>
    <m/>
    <n v="-22.75"/>
    <x v="6"/>
  </r>
  <r>
    <s v="2024-07-10"/>
    <x v="0"/>
    <x v="1"/>
    <x v="9"/>
    <x v="0"/>
    <n v="215.68"/>
    <m/>
    <n v="-215.68"/>
    <x v="6"/>
  </r>
  <r>
    <s v="2024-07-11"/>
    <x v="1"/>
    <x v="4"/>
    <x v="5"/>
    <x v="0"/>
    <n v="111.61"/>
    <m/>
    <n v="-111.61"/>
    <x v="6"/>
  </r>
  <r>
    <s v="2024-07-13"/>
    <x v="0"/>
    <x v="3"/>
    <x v="7"/>
    <x v="0"/>
    <n v="231.69"/>
    <m/>
    <n v="-231.69"/>
    <x v="6"/>
  </r>
  <r>
    <s v="2024-07-13"/>
    <x v="2"/>
    <x v="6"/>
    <x v="10"/>
    <x v="0"/>
    <n v="231.42"/>
    <m/>
    <n v="-231.42"/>
    <x v="6"/>
  </r>
  <r>
    <s v="2024-07-14"/>
    <x v="1"/>
    <x v="5"/>
    <x v="13"/>
    <x v="0"/>
    <n v="188.43"/>
    <m/>
    <n v="-188.43"/>
    <x v="6"/>
  </r>
  <r>
    <s v="2024-07-14"/>
    <x v="1"/>
    <x v="0"/>
    <x v="0"/>
    <x v="0"/>
    <n v="174.45"/>
    <m/>
    <n v="-174.45"/>
    <x v="6"/>
  </r>
  <r>
    <s v="2024-07-14"/>
    <x v="0"/>
    <x v="5"/>
    <x v="13"/>
    <x v="0"/>
    <n v="94.9"/>
    <m/>
    <n v="-94.9"/>
    <x v="6"/>
  </r>
  <r>
    <s v="2024-07-15"/>
    <x v="1"/>
    <x v="5"/>
    <x v="11"/>
    <x v="0"/>
    <n v="115.53"/>
    <m/>
    <n v="-115.53"/>
    <x v="6"/>
  </r>
  <r>
    <s v="2024-07-16"/>
    <x v="1"/>
    <x v="0"/>
    <x v="0"/>
    <x v="0"/>
    <n v="58.25"/>
    <m/>
    <n v="-58.25"/>
    <x v="6"/>
  </r>
  <r>
    <s v="2024-07-16"/>
    <x v="1"/>
    <x v="5"/>
    <x v="6"/>
    <x v="0"/>
    <n v="91.77"/>
    <m/>
    <n v="-91.77"/>
    <x v="6"/>
  </r>
  <r>
    <s v="2024-07-16"/>
    <x v="1"/>
    <x v="5"/>
    <x v="13"/>
    <x v="0"/>
    <n v="13.28"/>
    <m/>
    <n v="-13.28"/>
    <x v="6"/>
  </r>
  <r>
    <s v="2024-07-16"/>
    <x v="0"/>
    <x v="5"/>
    <x v="13"/>
    <x v="0"/>
    <n v="150.66"/>
    <m/>
    <n v="-150.66"/>
    <x v="6"/>
  </r>
  <r>
    <s v="2024-07-17"/>
    <x v="1"/>
    <x v="0"/>
    <x v="0"/>
    <x v="0"/>
    <n v="170.68"/>
    <m/>
    <n v="-170.68"/>
    <x v="6"/>
  </r>
  <r>
    <s v="2024-07-17"/>
    <x v="1"/>
    <x v="5"/>
    <x v="6"/>
    <x v="0"/>
    <n v="60.53"/>
    <m/>
    <n v="-60.53"/>
    <x v="6"/>
  </r>
  <r>
    <s v="2024-07-17"/>
    <x v="1"/>
    <x v="0"/>
    <x v="4"/>
    <x v="0"/>
    <n v="11.44"/>
    <m/>
    <n v="-11.44"/>
    <x v="6"/>
  </r>
  <r>
    <s v="2024-07-17"/>
    <x v="1"/>
    <x v="0"/>
    <x v="0"/>
    <x v="0"/>
    <n v="90.15"/>
    <m/>
    <n v="-90.15"/>
    <x v="6"/>
  </r>
  <r>
    <s v="2024-07-17"/>
    <x v="0"/>
    <x v="2"/>
    <x v="12"/>
    <x v="0"/>
    <n v="194.86"/>
    <m/>
    <n v="-194.86"/>
    <x v="6"/>
  </r>
  <r>
    <s v="2024-07-18"/>
    <x v="1"/>
    <x v="6"/>
    <x v="10"/>
    <x v="0"/>
    <n v="11.78"/>
    <m/>
    <n v="-11.78"/>
    <x v="6"/>
  </r>
  <r>
    <s v="2024-07-19"/>
    <x v="0"/>
    <x v="3"/>
    <x v="3"/>
    <x v="0"/>
    <n v="154.97"/>
    <m/>
    <n v="-154.97"/>
    <x v="6"/>
  </r>
  <r>
    <s v="2024-07-19"/>
    <x v="0"/>
    <x v="6"/>
    <x v="10"/>
    <x v="0"/>
    <n v="160.29"/>
    <m/>
    <n v="-160.29"/>
    <x v="6"/>
  </r>
  <r>
    <s v="2024-07-20"/>
    <x v="1"/>
    <x v="2"/>
    <x v="14"/>
    <x v="0"/>
    <n v="95.88"/>
    <m/>
    <n v="-95.88"/>
    <x v="6"/>
  </r>
  <r>
    <s v="2024-07-21"/>
    <x v="1"/>
    <x v="2"/>
    <x v="12"/>
    <x v="0"/>
    <n v="206.26"/>
    <m/>
    <n v="-206.26"/>
    <x v="6"/>
  </r>
  <r>
    <s v="2024-07-23"/>
    <x v="0"/>
    <x v="5"/>
    <x v="11"/>
    <x v="0"/>
    <n v="183.22"/>
    <m/>
    <n v="-183.22"/>
    <x v="6"/>
  </r>
  <r>
    <s v="2024-07-24"/>
    <x v="0"/>
    <x v="1"/>
    <x v="1"/>
    <x v="0"/>
    <n v="106.42"/>
    <m/>
    <n v="-106.42"/>
    <x v="6"/>
  </r>
  <r>
    <s v="2024-07-25"/>
    <x v="0"/>
    <x v="0"/>
    <x v="4"/>
    <x v="0"/>
    <n v="228.35"/>
    <m/>
    <n v="-228.35"/>
    <x v="6"/>
  </r>
  <r>
    <s v="2024-07-25"/>
    <x v="2"/>
    <x v="6"/>
    <x v="15"/>
    <x v="0"/>
    <n v="14.68"/>
    <m/>
    <n v="-14.68"/>
    <x v="6"/>
  </r>
  <r>
    <s v="2024-07-25"/>
    <x v="0"/>
    <x v="3"/>
    <x v="7"/>
    <x v="0"/>
    <n v="174.56"/>
    <m/>
    <n v="-174.56"/>
    <x v="6"/>
  </r>
  <r>
    <s v="2024-07-27"/>
    <x v="1"/>
    <x v="2"/>
    <x v="2"/>
    <x v="0"/>
    <n v="155.53"/>
    <m/>
    <n v="-155.53"/>
    <x v="6"/>
  </r>
  <r>
    <s v="2024-07-27"/>
    <x v="1"/>
    <x v="5"/>
    <x v="11"/>
    <x v="0"/>
    <n v="114.12"/>
    <m/>
    <n v="-114.12"/>
    <x v="6"/>
  </r>
  <r>
    <s v="2024-07-27"/>
    <x v="1"/>
    <x v="5"/>
    <x v="6"/>
    <x v="0"/>
    <n v="205.39"/>
    <m/>
    <n v="-205.39"/>
    <x v="6"/>
  </r>
  <r>
    <s v="2024-07-28"/>
    <x v="1"/>
    <x v="3"/>
    <x v="7"/>
    <x v="0"/>
    <n v="167.77"/>
    <m/>
    <n v="-167.77"/>
    <x v="6"/>
  </r>
  <r>
    <s v="2024-07-28"/>
    <x v="0"/>
    <x v="7"/>
    <x v="16"/>
    <x v="1"/>
    <m/>
    <n v="7461"/>
    <n v="7461"/>
    <x v="6"/>
  </r>
  <r>
    <s v="2024-08-01"/>
    <x v="1"/>
    <x v="5"/>
    <x v="13"/>
    <x v="0"/>
    <n v="229.97"/>
    <m/>
    <n v="-229.97"/>
    <x v="7"/>
  </r>
  <r>
    <s v="2024-08-02"/>
    <x v="1"/>
    <x v="4"/>
    <x v="8"/>
    <x v="0"/>
    <n v="57.69"/>
    <m/>
    <n v="-57.69"/>
    <x v="7"/>
  </r>
  <r>
    <s v="2024-08-03"/>
    <x v="1"/>
    <x v="2"/>
    <x v="12"/>
    <x v="0"/>
    <n v="193.38"/>
    <m/>
    <n v="-193.38"/>
    <x v="7"/>
  </r>
  <r>
    <s v="2024-08-04"/>
    <x v="0"/>
    <x v="4"/>
    <x v="8"/>
    <x v="0"/>
    <n v="223.4"/>
    <m/>
    <n v="-223.4"/>
    <x v="7"/>
  </r>
  <r>
    <s v="2024-08-04"/>
    <x v="1"/>
    <x v="2"/>
    <x v="2"/>
    <x v="0"/>
    <n v="151.69"/>
    <m/>
    <n v="-151.69"/>
    <x v="7"/>
  </r>
  <r>
    <s v="2024-08-04"/>
    <x v="1"/>
    <x v="2"/>
    <x v="2"/>
    <x v="0"/>
    <n v="192.74"/>
    <m/>
    <n v="-192.74"/>
    <x v="7"/>
  </r>
  <r>
    <s v="2024-08-06"/>
    <x v="1"/>
    <x v="4"/>
    <x v="8"/>
    <x v="0"/>
    <n v="208.03"/>
    <m/>
    <n v="-208.03"/>
    <x v="7"/>
  </r>
  <r>
    <s v="2024-08-06"/>
    <x v="0"/>
    <x v="2"/>
    <x v="14"/>
    <x v="0"/>
    <n v="47.4"/>
    <m/>
    <n v="-47.4"/>
    <x v="7"/>
  </r>
  <r>
    <s v="2024-08-06"/>
    <x v="1"/>
    <x v="2"/>
    <x v="2"/>
    <x v="0"/>
    <n v="237.42"/>
    <m/>
    <n v="-237.42"/>
    <x v="7"/>
  </r>
  <r>
    <s v="2024-08-06"/>
    <x v="1"/>
    <x v="0"/>
    <x v="0"/>
    <x v="0"/>
    <n v="131.94"/>
    <m/>
    <n v="-131.94"/>
    <x v="7"/>
  </r>
  <r>
    <s v="2024-08-07"/>
    <x v="0"/>
    <x v="4"/>
    <x v="5"/>
    <x v="0"/>
    <n v="56.58"/>
    <m/>
    <n v="-56.58"/>
    <x v="7"/>
  </r>
  <r>
    <s v="2024-08-07"/>
    <x v="1"/>
    <x v="0"/>
    <x v="4"/>
    <x v="0"/>
    <n v="93.9"/>
    <m/>
    <n v="-93.9"/>
    <x v="7"/>
  </r>
  <r>
    <s v="2024-08-07"/>
    <x v="0"/>
    <x v="2"/>
    <x v="14"/>
    <x v="0"/>
    <n v="76.23"/>
    <m/>
    <n v="-76.23"/>
    <x v="7"/>
  </r>
  <r>
    <s v="2024-08-07"/>
    <x v="0"/>
    <x v="5"/>
    <x v="11"/>
    <x v="0"/>
    <n v="73.42"/>
    <m/>
    <n v="-73.42"/>
    <x v="7"/>
  </r>
  <r>
    <s v="2024-08-07"/>
    <x v="1"/>
    <x v="1"/>
    <x v="1"/>
    <x v="0"/>
    <n v="230.42"/>
    <m/>
    <n v="-230.42"/>
    <x v="7"/>
  </r>
  <r>
    <s v="2024-08-08"/>
    <x v="0"/>
    <x v="2"/>
    <x v="14"/>
    <x v="0"/>
    <n v="93.98"/>
    <m/>
    <n v="-93.98"/>
    <x v="7"/>
  </r>
  <r>
    <s v="2024-08-08"/>
    <x v="1"/>
    <x v="2"/>
    <x v="12"/>
    <x v="0"/>
    <n v="69.900000000000006"/>
    <m/>
    <n v="-69.900000000000006"/>
    <x v="7"/>
  </r>
  <r>
    <s v="2024-08-08"/>
    <x v="0"/>
    <x v="4"/>
    <x v="8"/>
    <x v="0"/>
    <n v="128.57"/>
    <m/>
    <n v="-128.57"/>
    <x v="7"/>
  </r>
  <r>
    <s v="2024-08-10"/>
    <x v="1"/>
    <x v="0"/>
    <x v="4"/>
    <x v="0"/>
    <n v="152.84"/>
    <m/>
    <n v="-152.84"/>
    <x v="7"/>
  </r>
  <r>
    <s v="2024-08-11"/>
    <x v="0"/>
    <x v="3"/>
    <x v="3"/>
    <x v="0"/>
    <n v="40.17"/>
    <m/>
    <n v="-40.17"/>
    <x v="7"/>
  </r>
  <r>
    <s v="2024-08-12"/>
    <x v="1"/>
    <x v="4"/>
    <x v="8"/>
    <x v="0"/>
    <n v="151.02000000000001"/>
    <m/>
    <n v="-151.02000000000001"/>
    <x v="7"/>
  </r>
  <r>
    <s v="2024-08-12"/>
    <x v="1"/>
    <x v="1"/>
    <x v="9"/>
    <x v="0"/>
    <n v="216.68"/>
    <m/>
    <n v="-216.68"/>
    <x v="7"/>
  </r>
  <r>
    <s v="2024-08-13"/>
    <x v="1"/>
    <x v="5"/>
    <x v="13"/>
    <x v="0"/>
    <n v="120.07"/>
    <m/>
    <n v="-120.07"/>
    <x v="7"/>
  </r>
  <r>
    <s v="2024-08-13"/>
    <x v="1"/>
    <x v="1"/>
    <x v="1"/>
    <x v="0"/>
    <n v="231.69"/>
    <m/>
    <n v="-231.69"/>
    <x v="7"/>
  </r>
  <r>
    <s v="2024-08-13"/>
    <x v="1"/>
    <x v="5"/>
    <x v="13"/>
    <x v="0"/>
    <n v="174.74"/>
    <m/>
    <n v="-174.74"/>
    <x v="7"/>
  </r>
  <r>
    <s v="2024-08-14"/>
    <x v="1"/>
    <x v="1"/>
    <x v="9"/>
    <x v="0"/>
    <n v="117.9"/>
    <m/>
    <n v="-117.9"/>
    <x v="7"/>
  </r>
  <r>
    <s v="2024-08-14"/>
    <x v="1"/>
    <x v="2"/>
    <x v="12"/>
    <x v="0"/>
    <n v="27.37"/>
    <m/>
    <n v="-27.37"/>
    <x v="7"/>
  </r>
  <r>
    <s v="2024-08-14"/>
    <x v="0"/>
    <x v="1"/>
    <x v="1"/>
    <x v="0"/>
    <n v="22.66"/>
    <m/>
    <n v="-22.66"/>
    <x v="7"/>
  </r>
  <r>
    <s v="2024-08-15"/>
    <x v="1"/>
    <x v="5"/>
    <x v="13"/>
    <x v="0"/>
    <n v="82.1"/>
    <m/>
    <n v="-82.1"/>
    <x v="7"/>
  </r>
  <r>
    <s v="2024-08-15"/>
    <x v="1"/>
    <x v="1"/>
    <x v="1"/>
    <x v="0"/>
    <n v="209.9"/>
    <m/>
    <n v="-209.9"/>
    <x v="7"/>
  </r>
  <r>
    <s v="2024-08-15"/>
    <x v="0"/>
    <x v="4"/>
    <x v="8"/>
    <x v="0"/>
    <n v="138.18"/>
    <m/>
    <n v="-138.18"/>
    <x v="7"/>
  </r>
  <r>
    <s v="2024-08-16"/>
    <x v="1"/>
    <x v="0"/>
    <x v="4"/>
    <x v="0"/>
    <n v="110.42"/>
    <m/>
    <n v="-110.42"/>
    <x v="7"/>
  </r>
  <r>
    <s v="2024-08-16"/>
    <x v="0"/>
    <x v="0"/>
    <x v="4"/>
    <x v="0"/>
    <n v="161.75"/>
    <m/>
    <n v="-161.75"/>
    <x v="7"/>
  </r>
  <r>
    <s v="2024-08-17"/>
    <x v="0"/>
    <x v="1"/>
    <x v="9"/>
    <x v="0"/>
    <n v="188.12"/>
    <m/>
    <n v="-188.12"/>
    <x v="7"/>
  </r>
  <r>
    <s v="2024-08-18"/>
    <x v="0"/>
    <x v="0"/>
    <x v="0"/>
    <x v="0"/>
    <n v="215.69"/>
    <m/>
    <n v="-215.69"/>
    <x v="7"/>
  </r>
  <r>
    <s v="2024-08-18"/>
    <x v="1"/>
    <x v="2"/>
    <x v="2"/>
    <x v="0"/>
    <n v="46.38"/>
    <m/>
    <n v="-46.38"/>
    <x v="7"/>
  </r>
  <r>
    <s v="2024-08-19"/>
    <x v="0"/>
    <x v="2"/>
    <x v="12"/>
    <x v="0"/>
    <n v="146.61000000000001"/>
    <m/>
    <n v="-146.61000000000001"/>
    <x v="7"/>
  </r>
  <r>
    <s v="2024-08-21"/>
    <x v="0"/>
    <x v="3"/>
    <x v="3"/>
    <x v="0"/>
    <n v="63.87"/>
    <m/>
    <n v="-63.87"/>
    <x v="7"/>
  </r>
  <r>
    <s v="2024-08-21"/>
    <x v="1"/>
    <x v="1"/>
    <x v="9"/>
    <x v="0"/>
    <n v="198.72"/>
    <m/>
    <n v="-198.72"/>
    <x v="7"/>
  </r>
  <r>
    <s v="2024-08-21"/>
    <x v="0"/>
    <x v="5"/>
    <x v="6"/>
    <x v="0"/>
    <n v="56.16"/>
    <m/>
    <n v="-56.16"/>
    <x v="7"/>
  </r>
  <r>
    <s v="2024-08-22"/>
    <x v="0"/>
    <x v="5"/>
    <x v="13"/>
    <x v="0"/>
    <n v="232.21"/>
    <m/>
    <n v="-232.21"/>
    <x v="7"/>
  </r>
  <r>
    <s v="2024-08-22"/>
    <x v="0"/>
    <x v="0"/>
    <x v="0"/>
    <x v="0"/>
    <n v="77.790000000000006"/>
    <m/>
    <n v="-77.790000000000006"/>
    <x v="7"/>
  </r>
  <r>
    <s v="2024-08-22"/>
    <x v="1"/>
    <x v="1"/>
    <x v="1"/>
    <x v="0"/>
    <n v="124.11"/>
    <m/>
    <n v="-124.11"/>
    <x v="7"/>
  </r>
  <r>
    <s v="2024-08-25"/>
    <x v="0"/>
    <x v="5"/>
    <x v="11"/>
    <x v="0"/>
    <n v="138.75"/>
    <m/>
    <n v="-138.75"/>
    <x v="7"/>
  </r>
  <r>
    <s v="2024-08-25"/>
    <x v="0"/>
    <x v="2"/>
    <x v="2"/>
    <x v="0"/>
    <n v="51.54"/>
    <m/>
    <n v="-51.54"/>
    <x v="7"/>
  </r>
  <r>
    <s v="2024-08-27"/>
    <x v="0"/>
    <x v="3"/>
    <x v="7"/>
    <x v="0"/>
    <n v="101.01"/>
    <m/>
    <n v="-101.01"/>
    <x v="7"/>
  </r>
  <r>
    <s v="2024-08-27"/>
    <x v="0"/>
    <x v="0"/>
    <x v="0"/>
    <x v="0"/>
    <n v="169.99"/>
    <m/>
    <n v="-169.99"/>
    <x v="7"/>
  </r>
  <r>
    <s v="2024-08-27"/>
    <x v="0"/>
    <x v="4"/>
    <x v="8"/>
    <x v="0"/>
    <n v="101.54"/>
    <m/>
    <n v="-101.54"/>
    <x v="7"/>
  </r>
  <r>
    <s v="2024-08-27"/>
    <x v="0"/>
    <x v="3"/>
    <x v="7"/>
    <x v="0"/>
    <n v="127.24"/>
    <m/>
    <n v="-127.24"/>
    <x v="7"/>
  </r>
  <r>
    <s v="2024-08-28"/>
    <x v="0"/>
    <x v="7"/>
    <x v="16"/>
    <x v="1"/>
    <m/>
    <n v="7461"/>
    <n v="7461"/>
    <x v="7"/>
  </r>
  <r>
    <s v="2024-08-28"/>
    <x v="1"/>
    <x v="1"/>
    <x v="9"/>
    <x v="0"/>
    <n v="135.6"/>
    <m/>
    <n v="-135.6"/>
    <x v="7"/>
  </r>
  <r>
    <s v="2024-09-01"/>
    <x v="1"/>
    <x v="5"/>
    <x v="11"/>
    <x v="0"/>
    <n v="150.46"/>
    <m/>
    <n v="-150.46"/>
    <x v="8"/>
  </r>
  <r>
    <s v="2024-09-01"/>
    <x v="1"/>
    <x v="2"/>
    <x v="14"/>
    <x v="0"/>
    <n v="161.82"/>
    <m/>
    <n v="-161.82"/>
    <x v="8"/>
  </r>
  <r>
    <s v="2024-09-01"/>
    <x v="0"/>
    <x v="6"/>
    <x v="10"/>
    <x v="0"/>
    <n v="135.34"/>
    <m/>
    <n v="-135.34"/>
    <x v="8"/>
  </r>
  <r>
    <s v="2024-09-02"/>
    <x v="1"/>
    <x v="2"/>
    <x v="14"/>
    <x v="0"/>
    <n v="99.18"/>
    <m/>
    <n v="-99.18"/>
    <x v="8"/>
  </r>
  <r>
    <s v="2024-09-02"/>
    <x v="0"/>
    <x v="0"/>
    <x v="0"/>
    <x v="0"/>
    <n v="120.59"/>
    <m/>
    <n v="-120.59"/>
    <x v="8"/>
  </r>
  <r>
    <s v="2024-09-02"/>
    <x v="1"/>
    <x v="2"/>
    <x v="14"/>
    <x v="0"/>
    <n v="35.49"/>
    <m/>
    <n v="-35.49"/>
    <x v="8"/>
  </r>
  <r>
    <s v="2024-09-03"/>
    <x v="0"/>
    <x v="3"/>
    <x v="7"/>
    <x v="0"/>
    <n v="80.11"/>
    <m/>
    <n v="-80.11"/>
    <x v="8"/>
  </r>
  <r>
    <s v="2024-09-03"/>
    <x v="0"/>
    <x v="2"/>
    <x v="2"/>
    <x v="0"/>
    <n v="20.91"/>
    <m/>
    <n v="-20.91"/>
    <x v="8"/>
  </r>
  <r>
    <s v="2024-09-03"/>
    <x v="1"/>
    <x v="3"/>
    <x v="7"/>
    <x v="0"/>
    <n v="167.28"/>
    <m/>
    <n v="-167.28"/>
    <x v="8"/>
  </r>
  <r>
    <s v="2024-09-04"/>
    <x v="0"/>
    <x v="2"/>
    <x v="12"/>
    <x v="0"/>
    <n v="34.229999999999997"/>
    <m/>
    <n v="-34.229999999999997"/>
    <x v="8"/>
  </r>
  <r>
    <s v="2024-09-06"/>
    <x v="2"/>
    <x v="6"/>
    <x v="10"/>
    <x v="0"/>
    <n v="143.52000000000001"/>
    <m/>
    <n v="-143.52000000000001"/>
    <x v="8"/>
  </r>
  <r>
    <s v="2024-09-06"/>
    <x v="0"/>
    <x v="1"/>
    <x v="1"/>
    <x v="0"/>
    <n v="154.44999999999999"/>
    <m/>
    <n v="-154.44999999999999"/>
    <x v="8"/>
  </r>
  <r>
    <s v="2024-09-07"/>
    <x v="0"/>
    <x v="0"/>
    <x v="0"/>
    <x v="0"/>
    <n v="181.33"/>
    <m/>
    <n v="-181.33"/>
    <x v="8"/>
  </r>
  <r>
    <s v="2024-09-08"/>
    <x v="1"/>
    <x v="5"/>
    <x v="11"/>
    <x v="0"/>
    <n v="108.01"/>
    <m/>
    <n v="-108.01"/>
    <x v="8"/>
  </r>
  <r>
    <s v="2024-09-08"/>
    <x v="0"/>
    <x v="2"/>
    <x v="2"/>
    <x v="0"/>
    <n v="23.12"/>
    <m/>
    <n v="-23.12"/>
    <x v="8"/>
  </r>
  <r>
    <s v="2024-09-08"/>
    <x v="0"/>
    <x v="2"/>
    <x v="14"/>
    <x v="0"/>
    <n v="182.54"/>
    <m/>
    <n v="-182.54"/>
    <x v="8"/>
  </r>
  <r>
    <s v="2024-09-08"/>
    <x v="1"/>
    <x v="5"/>
    <x v="11"/>
    <x v="0"/>
    <n v="157.26"/>
    <m/>
    <n v="-157.26"/>
    <x v="8"/>
  </r>
  <r>
    <s v="2024-09-08"/>
    <x v="1"/>
    <x v="6"/>
    <x v="15"/>
    <x v="0"/>
    <n v="18.68"/>
    <m/>
    <n v="-18.68"/>
    <x v="8"/>
  </r>
  <r>
    <s v="2024-09-09"/>
    <x v="0"/>
    <x v="4"/>
    <x v="8"/>
    <x v="0"/>
    <n v="140.13"/>
    <m/>
    <n v="-140.13"/>
    <x v="8"/>
  </r>
  <r>
    <s v="2024-09-09"/>
    <x v="1"/>
    <x v="0"/>
    <x v="0"/>
    <x v="0"/>
    <n v="114.01"/>
    <m/>
    <n v="-114.01"/>
    <x v="8"/>
  </r>
  <r>
    <s v="2024-09-10"/>
    <x v="2"/>
    <x v="6"/>
    <x v="10"/>
    <x v="0"/>
    <n v="6.39"/>
    <m/>
    <n v="-6.39"/>
    <x v="8"/>
  </r>
  <r>
    <s v="2024-09-10"/>
    <x v="0"/>
    <x v="2"/>
    <x v="2"/>
    <x v="0"/>
    <n v="215.9"/>
    <m/>
    <n v="-215.9"/>
    <x v="8"/>
  </r>
  <r>
    <s v="2024-09-11"/>
    <x v="0"/>
    <x v="4"/>
    <x v="8"/>
    <x v="0"/>
    <n v="148.19"/>
    <m/>
    <n v="-148.19"/>
    <x v="8"/>
  </r>
  <r>
    <s v="2024-09-11"/>
    <x v="1"/>
    <x v="5"/>
    <x v="13"/>
    <x v="0"/>
    <n v="130.63"/>
    <m/>
    <n v="-130.63"/>
    <x v="8"/>
  </r>
  <r>
    <s v="2024-09-12"/>
    <x v="1"/>
    <x v="6"/>
    <x v="10"/>
    <x v="0"/>
    <n v="163.5"/>
    <m/>
    <n v="-163.5"/>
    <x v="8"/>
  </r>
  <r>
    <s v="2024-09-12"/>
    <x v="0"/>
    <x v="2"/>
    <x v="12"/>
    <x v="0"/>
    <n v="164.37"/>
    <m/>
    <n v="-164.37"/>
    <x v="8"/>
  </r>
  <r>
    <s v="2024-09-13"/>
    <x v="1"/>
    <x v="3"/>
    <x v="7"/>
    <x v="0"/>
    <n v="113.06"/>
    <m/>
    <n v="-113.06"/>
    <x v="8"/>
  </r>
  <r>
    <s v="2024-09-13"/>
    <x v="1"/>
    <x v="2"/>
    <x v="12"/>
    <x v="0"/>
    <n v="212.94"/>
    <m/>
    <n v="-212.94"/>
    <x v="8"/>
  </r>
  <r>
    <s v="2024-09-13"/>
    <x v="0"/>
    <x v="5"/>
    <x v="11"/>
    <x v="0"/>
    <n v="38.78"/>
    <m/>
    <n v="-38.78"/>
    <x v="8"/>
  </r>
  <r>
    <s v="2024-09-14"/>
    <x v="0"/>
    <x v="4"/>
    <x v="5"/>
    <x v="0"/>
    <n v="46.41"/>
    <m/>
    <n v="-46.41"/>
    <x v="8"/>
  </r>
  <r>
    <s v="2024-09-14"/>
    <x v="0"/>
    <x v="4"/>
    <x v="5"/>
    <x v="0"/>
    <n v="116.6"/>
    <m/>
    <n v="-116.6"/>
    <x v="8"/>
  </r>
  <r>
    <s v="2024-09-14"/>
    <x v="0"/>
    <x v="6"/>
    <x v="15"/>
    <x v="0"/>
    <n v="60.41"/>
    <m/>
    <n v="-60.41"/>
    <x v="8"/>
  </r>
  <r>
    <s v="2024-09-15"/>
    <x v="2"/>
    <x v="6"/>
    <x v="10"/>
    <x v="0"/>
    <n v="212.55"/>
    <m/>
    <n v="-212.55"/>
    <x v="8"/>
  </r>
  <r>
    <s v="2024-09-15"/>
    <x v="1"/>
    <x v="2"/>
    <x v="14"/>
    <x v="0"/>
    <n v="155.69999999999999"/>
    <m/>
    <n v="-155.69999999999999"/>
    <x v="8"/>
  </r>
  <r>
    <s v="2024-09-15"/>
    <x v="1"/>
    <x v="4"/>
    <x v="8"/>
    <x v="0"/>
    <n v="90.1"/>
    <m/>
    <n v="-90.1"/>
    <x v="8"/>
  </r>
  <r>
    <s v="2024-09-16"/>
    <x v="1"/>
    <x v="2"/>
    <x v="12"/>
    <x v="0"/>
    <n v="93.6"/>
    <m/>
    <n v="-93.6"/>
    <x v="8"/>
  </r>
  <r>
    <s v="2024-09-16"/>
    <x v="0"/>
    <x v="5"/>
    <x v="11"/>
    <x v="0"/>
    <n v="171.52"/>
    <m/>
    <n v="-171.52"/>
    <x v="8"/>
  </r>
  <r>
    <s v="2024-09-19"/>
    <x v="1"/>
    <x v="2"/>
    <x v="12"/>
    <x v="0"/>
    <n v="161.54"/>
    <m/>
    <n v="-161.54"/>
    <x v="8"/>
  </r>
  <r>
    <s v="2024-09-21"/>
    <x v="0"/>
    <x v="4"/>
    <x v="8"/>
    <x v="0"/>
    <n v="209.26"/>
    <m/>
    <n v="-209.26"/>
    <x v="8"/>
  </r>
  <r>
    <s v="2024-09-21"/>
    <x v="1"/>
    <x v="2"/>
    <x v="2"/>
    <x v="0"/>
    <n v="44.31"/>
    <m/>
    <n v="-44.31"/>
    <x v="8"/>
  </r>
  <r>
    <s v="2024-09-22"/>
    <x v="0"/>
    <x v="4"/>
    <x v="8"/>
    <x v="0"/>
    <n v="124.74"/>
    <m/>
    <n v="-124.74"/>
    <x v="8"/>
  </r>
  <r>
    <s v="2024-09-22"/>
    <x v="0"/>
    <x v="5"/>
    <x v="13"/>
    <x v="0"/>
    <n v="168.31"/>
    <m/>
    <n v="-168.31"/>
    <x v="8"/>
  </r>
  <r>
    <s v="2024-09-22"/>
    <x v="1"/>
    <x v="5"/>
    <x v="13"/>
    <x v="0"/>
    <n v="114.61"/>
    <m/>
    <n v="-114.61"/>
    <x v="8"/>
  </r>
  <r>
    <s v="2024-09-24"/>
    <x v="0"/>
    <x v="5"/>
    <x v="6"/>
    <x v="0"/>
    <n v="10.68"/>
    <m/>
    <n v="-10.68"/>
    <x v="8"/>
  </r>
  <r>
    <s v="2024-09-26"/>
    <x v="0"/>
    <x v="5"/>
    <x v="13"/>
    <x v="0"/>
    <n v="51.73"/>
    <m/>
    <n v="-51.73"/>
    <x v="8"/>
  </r>
  <r>
    <s v="2024-09-26"/>
    <x v="1"/>
    <x v="6"/>
    <x v="10"/>
    <x v="0"/>
    <n v="38.14"/>
    <m/>
    <n v="-38.14"/>
    <x v="8"/>
  </r>
  <r>
    <s v="2024-09-26"/>
    <x v="0"/>
    <x v="5"/>
    <x v="11"/>
    <x v="0"/>
    <n v="164.76"/>
    <m/>
    <n v="-164.76"/>
    <x v="8"/>
  </r>
  <r>
    <s v="2024-09-27"/>
    <x v="0"/>
    <x v="0"/>
    <x v="0"/>
    <x v="0"/>
    <n v="220.99"/>
    <m/>
    <n v="-220.99"/>
    <x v="8"/>
  </r>
  <r>
    <s v="2024-09-28"/>
    <x v="0"/>
    <x v="0"/>
    <x v="0"/>
    <x v="0"/>
    <n v="235.78"/>
    <m/>
    <n v="-235.78"/>
    <x v="8"/>
  </r>
  <r>
    <s v="2024-09-28"/>
    <x v="0"/>
    <x v="7"/>
    <x v="16"/>
    <x v="1"/>
    <m/>
    <n v="7461"/>
    <n v="7461"/>
    <x v="8"/>
  </r>
  <r>
    <s v="2024-09-28"/>
    <x v="1"/>
    <x v="2"/>
    <x v="12"/>
    <x v="0"/>
    <n v="139.56"/>
    <m/>
    <n v="-139.56"/>
    <x v="8"/>
  </r>
  <r>
    <s v="2024-10-01"/>
    <x v="1"/>
    <x v="5"/>
    <x v="13"/>
    <x v="0"/>
    <n v="19.03"/>
    <m/>
    <n v="-19.03"/>
    <x v="9"/>
  </r>
  <r>
    <s v="2024-10-01"/>
    <x v="1"/>
    <x v="5"/>
    <x v="13"/>
    <x v="0"/>
    <n v="67.48"/>
    <m/>
    <n v="-67.48"/>
    <x v="9"/>
  </r>
  <r>
    <s v="2024-10-02"/>
    <x v="1"/>
    <x v="4"/>
    <x v="8"/>
    <x v="0"/>
    <n v="29.4"/>
    <m/>
    <n v="-29.4"/>
    <x v="9"/>
  </r>
  <r>
    <s v="2024-10-02"/>
    <x v="1"/>
    <x v="6"/>
    <x v="10"/>
    <x v="0"/>
    <n v="228.66"/>
    <m/>
    <n v="-228.66"/>
    <x v="9"/>
  </r>
  <r>
    <s v="2024-10-03"/>
    <x v="1"/>
    <x v="2"/>
    <x v="2"/>
    <x v="0"/>
    <n v="8.0500000000000007"/>
    <m/>
    <n v="-8.0500000000000007"/>
    <x v="9"/>
  </r>
  <r>
    <s v="2024-10-04"/>
    <x v="1"/>
    <x v="6"/>
    <x v="15"/>
    <x v="0"/>
    <n v="43.28"/>
    <m/>
    <n v="-43.28"/>
    <x v="9"/>
  </r>
  <r>
    <s v="2024-10-04"/>
    <x v="0"/>
    <x v="2"/>
    <x v="14"/>
    <x v="0"/>
    <n v="169.96"/>
    <m/>
    <n v="-169.96"/>
    <x v="9"/>
  </r>
  <r>
    <s v="2024-10-04"/>
    <x v="1"/>
    <x v="4"/>
    <x v="5"/>
    <x v="0"/>
    <n v="29.46"/>
    <m/>
    <n v="-29.46"/>
    <x v="9"/>
  </r>
  <r>
    <s v="2024-10-05"/>
    <x v="1"/>
    <x v="6"/>
    <x v="15"/>
    <x v="0"/>
    <n v="163.35"/>
    <m/>
    <n v="-163.35"/>
    <x v="9"/>
  </r>
  <r>
    <s v="2024-10-06"/>
    <x v="1"/>
    <x v="4"/>
    <x v="5"/>
    <x v="0"/>
    <n v="73.27"/>
    <m/>
    <n v="-73.27"/>
    <x v="9"/>
  </r>
  <r>
    <s v="2024-10-06"/>
    <x v="0"/>
    <x v="4"/>
    <x v="5"/>
    <x v="0"/>
    <n v="93.34"/>
    <m/>
    <n v="-93.34"/>
    <x v="9"/>
  </r>
  <r>
    <s v="2024-10-07"/>
    <x v="1"/>
    <x v="0"/>
    <x v="4"/>
    <x v="0"/>
    <n v="81.430000000000007"/>
    <m/>
    <n v="-81.430000000000007"/>
    <x v="9"/>
  </r>
  <r>
    <s v="2024-10-08"/>
    <x v="0"/>
    <x v="1"/>
    <x v="1"/>
    <x v="0"/>
    <n v="44.49"/>
    <m/>
    <n v="-44.49"/>
    <x v="9"/>
  </r>
  <r>
    <s v="2024-10-09"/>
    <x v="0"/>
    <x v="2"/>
    <x v="14"/>
    <x v="0"/>
    <n v="218.01"/>
    <m/>
    <n v="-218.01"/>
    <x v="9"/>
  </r>
  <r>
    <s v="2024-10-09"/>
    <x v="0"/>
    <x v="2"/>
    <x v="12"/>
    <x v="0"/>
    <n v="8.31"/>
    <m/>
    <n v="-8.31"/>
    <x v="9"/>
  </r>
  <r>
    <s v="2024-10-09"/>
    <x v="1"/>
    <x v="3"/>
    <x v="7"/>
    <x v="0"/>
    <n v="24.24"/>
    <m/>
    <n v="-24.24"/>
    <x v="9"/>
  </r>
  <r>
    <s v="2024-10-10"/>
    <x v="1"/>
    <x v="5"/>
    <x v="11"/>
    <x v="0"/>
    <n v="223.94"/>
    <m/>
    <n v="-223.94"/>
    <x v="9"/>
  </r>
  <r>
    <s v="2024-10-11"/>
    <x v="0"/>
    <x v="4"/>
    <x v="8"/>
    <x v="0"/>
    <n v="95.86"/>
    <m/>
    <n v="-95.86"/>
    <x v="9"/>
  </r>
  <r>
    <s v="2024-10-12"/>
    <x v="1"/>
    <x v="2"/>
    <x v="2"/>
    <x v="0"/>
    <n v="36.090000000000003"/>
    <m/>
    <n v="-36.090000000000003"/>
    <x v="9"/>
  </r>
  <r>
    <s v="2024-10-12"/>
    <x v="1"/>
    <x v="6"/>
    <x v="15"/>
    <x v="0"/>
    <n v="192.05"/>
    <m/>
    <n v="-192.05"/>
    <x v="9"/>
  </r>
  <r>
    <s v="2024-10-13"/>
    <x v="1"/>
    <x v="3"/>
    <x v="7"/>
    <x v="0"/>
    <n v="199.06"/>
    <m/>
    <n v="-199.06"/>
    <x v="9"/>
  </r>
  <r>
    <s v="2024-10-14"/>
    <x v="1"/>
    <x v="4"/>
    <x v="8"/>
    <x v="0"/>
    <n v="103.08"/>
    <m/>
    <n v="-103.08"/>
    <x v="9"/>
  </r>
  <r>
    <s v="2024-10-14"/>
    <x v="0"/>
    <x v="3"/>
    <x v="3"/>
    <x v="0"/>
    <n v="191.44"/>
    <m/>
    <n v="-191.44"/>
    <x v="9"/>
  </r>
  <r>
    <s v="2024-10-14"/>
    <x v="0"/>
    <x v="3"/>
    <x v="3"/>
    <x v="0"/>
    <n v="169.95"/>
    <m/>
    <n v="-169.95"/>
    <x v="9"/>
  </r>
  <r>
    <s v="2024-10-15"/>
    <x v="0"/>
    <x v="4"/>
    <x v="8"/>
    <x v="0"/>
    <n v="141.57"/>
    <m/>
    <n v="-141.57"/>
    <x v="9"/>
  </r>
  <r>
    <s v="2024-10-16"/>
    <x v="1"/>
    <x v="0"/>
    <x v="4"/>
    <x v="0"/>
    <n v="209.81"/>
    <m/>
    <n v="-209.81"/>
    <x v="9"/>
  </r>
  <r>
    <s v="2024-10-16"/>
    <x v="0"/>
    <x v="5"/>
    <x v="6"/>
    <x v="0"/>
    <n v="74.3"/>
    <m/>
    <n v="-74.3"/>
    <x v="9"/>
  </r>
  <r>
    <s v="2024-10-16"/>
    <x v="1"/>
    <x v="1"/>
    <x v="9"/>
    <x v="0"/>
    <n v="229.3"/>
    <m/>
    <n v="-229.3"/>
    <x v="9"/>
  </r>
  <r>
    <s v="2024-10-16"/>
    <x v="1"/>
    <x v="0"/>
    <x v="0"/>
    <x v="0"/>
    <n v="70.05"/>
    <m/>
    <n v="-70.05"/>
    <x v="9"/>
  </r>
  <r>
    <s v="2024-10-16"/>
    <x v="0"/>
    <x v="5"/>
    <x v="11"/>
    <x v="0"/>
    <n v="201.2"/>
    <m/>
    <n v="-201.2"/>
    <x v="9"/>
  </r>
  <r>
    <s v="2024-10-17"/>
    <x v="0"/>
    <x v="5"/>
    <x v="11"/>
    <x v="0"/>
    <n v="211.1"/>
    <m/>
    <n v="-211.1"/>
    <x v="9"/>
  </r>
  <r>
    <s v="2024-10-19"/>
    <x v="0"/>
    <x v="2"/>
    <x v="2"/>
    <x v="0"/>
    <n v="79.28"/>
    <m/>
    <n v="-79.28"/>
    <x v="9"/>
  </r>
  <r>
    <s v="2024-10-20"/>
    <x v="0"/>
    <x v="1"/>
    <x v="9"/>
    <x v="0"/>
    <n v="110.75"/>
    <m/>
    <n v="-110.75"/>
    <x v="9"/>
  </r>
  <r>
    <s v="2024-10-22"/>
    <x v="1"/>
    <x v="0"/>
    <x v="4"/>
    <x v="0"/>
    <n v="113.54"/>
    <m/>
    <n v="-113.54"/>
    <x v="9"/>
  </r>
  <r>
    <s v="2024-10-23"/>
    <x v="1"/>
    <x v="3"/>
    <x v="3"/>
    <x v="0"/>
    <n v="118.61"/>
    <m/>
    <n v="-118.61"/>
    <x v="9"/>
  </r>
  <r>
    <s v="2024-10-24"/>
    <x v="0"/>
    <x v="2"/>
    <x v="12"/>
    <x v="0"/>
    <n v="160.36000000000001"/>
    <m/>
    <n v="-160.36000000000001"/>
    <x v="9"/>
  </r>
  <r>
    <s v="2024-10-25"/>
    <x v="1"/>
    <x v="5"/>
    <x v="13"/>
    <x v="0"/>
    <n v="204.06"/>
    <m/>
    <n v="-204.06"/>
    <x v="9"/>
  </r>
  <r>
    <s v="2024-10-25"/>
    <x v="1"/>
    <x v="3"/>
    <x v="3"/>
    <x v="0"/>
    <n v="234.37"/>
    <m/>
    <n v="-234.37"/>
    <x v="9"/>
  </r>
  <r>
    <s v="2024-10-25"/>
    <x v="0"/>
    <x v="4"/>
    <x v="8"/>
    <x v="0"/>
    <n v="202.21"/>
    <m/>
    <n v="-202.21"/>
    <x v="9"/>
  </r>
  <r>
    <s v="2024-10-26"/>
    <x v="0"/>
    <x v="5"/>
    <x v="11"/>
    <x v="0"/>
    <n v="53.05"/>
    <m/>
    <n v="-53.05"/>
    <x v="9"/>
  </r>
  <r>
    <s v="2024-10-26"/>
    <x v="0"/>
    <x v="3"/>
    <x v="3"/>
    <x v="0"/>
    <n v="206.13"/>
    <m/>
    <n v="-206.13"/>
    <x v="9"/>
  </r>
  <r>
    <s v="2024-10-26"/>
    <x v="2"/>
    <x v="6"/>
    <x v="10"/>
    <x v="0"/>
    <n v="93.33"/>
    <m/>
    <n v="-93.33"/>
    <x v="9"/>
  </r>
  <r>
    <s v="2024-10-26"/>
    <x v="0"/>
    <x v="4"/>
    <x v="8"/>
    <x v="0"/>
    <n v="217.12"/>
    <m/>
    <n v="-217.12"/>
    <x v="9"/>
  </r>
  <r>
    <s v="2024-10-27"/>
    <x v="0"/>
    <x v="6"/>
    <x v="15"/>
    <x v="0"/>
    <n v="127.72"/>
    <m/>
    <n v="-127.72"/>
    <x v="9"/>
  </r>
  <r>
    <s v="2024-10-27"/>
    <x v="0"/>
    <x v="3"/>
    <x v="7"/>
    <x v="0"/>
    <n v="160.28"/>
    <m/>
    <n v="-160.28"/>
    <x v="9"/>
  </r>
  <r>
    <s v="2024-10-27"/>
    <x v="1"/>
    <x v="2"/>
    <x v="2"/>
    <x v="0"/>
    <n v="165.44"/>
    <m/>
    <n v="-165.44"/>
    <x v="9"/>
  </r>
  <r>
    <s v="2024-10-27"/>
    <x v="1"/>
    <x v="6"/>
    <x v="15"/>
    <x v="0"/>
    <n v="126.4"/>
    <m/>
    <n v="-126.4"/>
    <x v="9"/>
  </r>
  <r>
    <s v="2024-10-27"/>
    <x v="0"/>
    <x v="5"/>
    <x v="13"/>
    <x v="0"/>
    <n v="42.47"/>
    <m/>
    <n v="-42.47"/>
    <x v="9"/>
  </r>
  <r>
    <s v="2024-10-27"/>
    <x v="0"/>
    <x v="0"/>
    <x v="0"/>
    <x v="0"/>
    <n v="106.46"/>
    <m/>
    <n v="-106.46"/>
    <x v="9"/>
  </r>
  <r>
    <s v="2024-10-28"/>
    <x v="1"/>
    <x v="5"/>
    <x v="11"/>
    <x v="0"/>
    <n v="184.65"/>
    <m/>
    <n v="-184.65"/>
    <x v="9"/>
  </r>
  <r>
    <s v="2024-10-28"/>
    <x v="0"/>
    <x v="7"/>
    <x v="16"/>
    <x v="1"/>
    <m/>
    <n v="7461"/>
    <n v="7461"/>
    <x v="9"/>
  </r>
  <r>
    <s v="2024-11-02"/>
    <x v="1"/>
    <x v="0"/>
    <x v="0"/>
    <x v="0"/>
    <n v="53.76"/>
    <m/>
    <n v="-53.76"/>
    <x v="10"/>
  </r>
  <r>
    <s v="2024-11-02"/>
    <x v="2"/>
    <x v="6"/>
    <x v="10"/>
    <x v="0"/>
    <n v="38.78"/>
    <m/>
    <n v="-38.78"/>
    <x v="10"/>
  </r>
  <r>
    <s v="2024-11-02"/>
    <x v="1"/>
    <x v="3"/>
    <x v="7"/>
    <x v="0"/>
    <n v="220.81"/>
    <m/>
    <n v="-220.81"/>
    <x v="10"/>
  </r>
  <r>
    <s v="2024-11-03"/>
    <x v="1"/>
    <x v="2"/>
    <x v="12"/>
    <x v="0"/>
    <n v="120.9"/>
    <m/>
    <n v="-120.9"/>
    <x v="10"/>
  </r>
  <r>
    <s v="2024-11-05"/>
    <x v="0"/>
    <x v="5"/>
    <x v="6"/>
    <x v="0"/>
    <n v="27.3"/>
    <m/>
    <n v="-27.3"/>
    <x v="10"/>
  </r>
  <r>
    <s v="2024-11-05"/>
    <x v="1"/>
    <x v="3"/>
    <x v="3"/>
    <x v="0"/>
    <n v="196.45"/>
    <m/>
    <n v="-196.45"/>
    <x v="10"/>
  </r>
  <r>
    <s v="2024-11-06"/>
    <x v="1"/>
    <x v="4"/>
    <x v="5"/>
    <x v="0"/>
    <n v="109.94"/>
    <m/>
    <n v="-109.94"/>
    <x v="10"/>
  </r>
  <r>
    <s v="2024-11-06"/>
    <x v="0"/>
    <x v="3"/>
    <x v="3"/>
    <x v="0"/>
    <n v="52.94"/>
    <m/>
    <n v="-52.94"/>
    <x v="10"/>
  </r>
  <r>
    <s v="2024-11-07"/>
    <x v="1"/>
    <x v="5"/>
    <x v="11"/>
    <x v="0"/>
    <n v="207.99"/>
    <m/>
    <n v="-207.99"/>
    <x v="10"/>
  </r>
  <r>
    <s v="2024-11-08"/>
    <x v="0"/>
    <x v="0"/>
    <x v="0"/>
    <x v="0"/>
    <n v="188.18"/>
    <m/>
    <n v="-188.18"/>
    <x v="10"/>
  </r>
  <r>
    <s v="2024-11-08"/>
    <x v="1"/>
    <x v="3"/>
    <x v="7"/>
    <x v="0"/>
    <n v="216.08"/>
    <m/>
    <n v="-216.08"/>
    <x v="10"/>
  </r>
  <r>
    <s v="2024-11-08"/>
    <x v="0"/>
    <x v="3"/>
    <x v="7"/>
    <x v="0"/>
    <n v="111.53"/>
    <m/>
    <n v="-111.53"/>
    <x v="10"/>
  </r>
  <r>
    <s v="2024-11-09"/>
    <x v="1"/>
    <x v="2"/>
    <x v="2"/>
    <x v="0"/>
    <n v="178.37"/>
    <m/>
    <n v="-178.37"/>
    <x v="10"/>
  </r>
  <r>
    <s v="2024-11-09"/>
    <x v="1"/>
    <x v="4"/>
    <x v="8"/>
    <x v="0"/>
    <n v="221.09"/>
    <m/>
    <n v="-221.09"/>
    <x v="10"/>
  </r>
  <r>
    <s v="2024-11-09"/>
    <x v="0"/>
    <x v="4"/>
    <x v="8"/>
    <x v="0"/>
    <n v="66.61"/>
    <m/>
    <n v="-66.61"/>
    <x v="10"/>
  </r>
  <r>
    <s v="2024-11-10"/>
    <x v="1"/>
    <x v="1"/>
    <x v="1"/>
    <x v="0"/>
    <n v="168.06"/>
    <m/>
    <n v="-168.06"/>
    <x v="10"/>
  </r>
  <r>
    <s v="2024-11-11"/>
    <x v="1"/>
    <x v="0"/>
    <x v="4"/>
    <x v="0"/>
    <n v="216.03"/>
    <m/>
    <n v="-216.03"/>
    <x v="10"/>
  </r>
  <r>
    <s v="2024-11-12"/>
    <x v="0"/>
    <x v="5"/>
    <x v="13"/>
    <x v="0"/>
    <n v="92.46"/>
    <m/>
    <n v="-92.46"/>
    <x v="10"/>
  </r>
  <r>
    <s v="2024-11-13"/>
    <x v="1"/>
    <x v="0"/>
    <x v="4"/>
    <x v="0"/>
    <n v="10.8"/>
    <m/>
    <n v="-10.8"/>
    <x v="10"/>
  </r>
  <r>
    <s v="2024-11-13"/>
    <x v="0"/>
    <x v="2"/>
    <x v="2"/>
    <x v="0"/>
    <n v="140.01"/>
    <m/>
    <n v="-140.01"/>
    <x v="10"/>
  </r>
  <r>
    <s v="2024-11-13"/>
    <x v="0"/>
    <x v="1"/>
    <x v="9"/>
    <x v="0"/>
    <n v="143.87"/>
    <m/>
    <n v="-143.87"/>
    <x v="10"/>
  </r>
  <r>
    <s v="2024-11-14"/>
    <x v="1"/>
    <x v="1"/>
    <x v="1"/>
    <x v="0"/>
    <n v="8.49"/>
    <m/>
    <n v="-8.49"/>
    <x v="10"/>
  </r>
  <r>
    <s v="2024-11-14"/>
    <x v="1"/>
    <x v="5"/>
    <x v="6"/>
    <x v="0"/>
    <n v="182.28"/>
    <m/>
    <n v="-182.28"/>
    <x v="10"/>
  </r>
  <r>
    <s v="2024-11-15"/>
    <x v="1"/>
    <x v="1"/>
    <x v="9"/>
    <x v="0"/>
    <n v="34.340000000000003"/>
    <m/>
    <n v="-34.340000000000003"/>
    <x v="10"/>
  </r>
  <r>
    <s v="2024-11-15"/>
    <x v="1"/>
    <x v="2"/>
    <x v="2"/>
    <x v="0"/>
    <n v="144.44999999999999"/>
    <m/>
    <n v="-144.44999999999999"/>
    <x v="10"/>
  </r>
  <r>
    <s v="2024-11-15"/>
    <x v="1"/>
    <x v="2"/>
    <x v="2"/>
    <x v="0"/>
    <n v="73.89"/>
    <m/>
    <n v="-73.89"/>
    <x v="10"/>
  </r>
  <r>
    <s v="2024-11-16"/>
    <x v="0"/>
    <x v="3"/>
    <x v="7"/>
    <x v="0"/>
    <n v="203.39"/>
    <m/>
    <n v="-203.39"/>
    <x v="10"/>
  </r>
  <r>
    <s v="2024-11-16"/>
    <x v="0"/>
    <x v="5"/>
    <x v="13"/>
    <x v="0"/>
    <n v="232.31"/>
    <m/>
    <n v="-232.31"/>
    <x v="10"/>
  </r>
  <r>
    <s v="2024-11-17"/>
    <x v="1"/>
    <x v="5"/>
    <x v="11"/>
    <x v="0"/>
    <n v="12.91"/>
    <m/>
    <n v="-12.91"/>
    <x v="10"/>
  </r>
  <r>
    <s v="2024-11-17"/>
    <x v="1"/>
    <x v="5"/>
    <x v="11"/>
    <x v="0"/>
    <n v="120.96"/>
    <m/>
    <n v="-120.96"/>
    <x v="10"/>
  </r>
  <r>
    <s v="2024-11-18"/>
    <x v="0"/>
    <x v="0"/>
    <x v="0"/>
    <x v="0"/>
    <n v="104.08"/>
    <m/>
    <n v="-104.08"/>
    <x v="10"/>
  </r>
  <r>
    <s v="2024-11-19"/>
    <x v="1"/>
    <x v="0"/>
    <x v="0"/>
    <x v="0"/>
    <n v="43.17"/>
    <m/>
    <n v="-43.17"/>
    <x v="10"/>
  </r>
  <r>
    <s v="2024-11-20"/>
    <x v="0"/>
    <x v="0"/>
    <x v="4"/>
    <x v="0"/>
    <n v="92.72"/>
    <m/>
    <n v="-92.72"/>
    <x v="10"/>
  </r>
  <r>
    <s v="2024-11-20"/>
    <x v="1"/>
    <x v="2"/>
    <x v="12"/>
    <x v="0"/>
    <n v="19.649999999999999"/>
    <m/>
    <n v="-19.649999999999999"/>
    <x v="10"/>
  </r>
  <r>
    <s v="2024-11-20"/>
    <x v="1"/>
    <x v="1"/>
    <x v="9"/>
    <x v="0"/>
    <n v="150.47999999999999"/>
    <m/>
    <n v="-150.47999999999999"/>
    <x v="10"/>
  </r>
  <r>
    <s v="2024-11-21"/>
    <x v="1"/>
    <x v="3"/>
    <x v="3"/>
    <x v="0"/>
    <n v="207.42"/>
    <m/>
    <n v="-207.42"/>
    <x v="10"/>
  </r>
  <r>
    <s v="2024-11-21"/>
    <x v="1"/>
    <x v="0"/>
    <x v="0"/>
    <x v="0"/>
    <n v="60.81"/>
    <m/>
    <n v="-60.81"/>
    <x v="10"/>
  </r>
  <r>
    <s v="2024-11-21"/>
    <x v="1"/>
    <x v="1"/>
    <x v="9"/>
    <x v="0"/>
    <n v="133.54"/>
    <m/>
    <n v="-133.54"/>
    <x v="10"/>
  </r>
  <r>
    <s v="2024-11-22"/>
    <x v="0"/>
    <x v="4"/>
    <x v="5"/>
    <x v="0"/>
    <n v="185.4"/>
    <m/>
    <n v="-185.4"/>
    <x v="10"/>
  </r>
  <r>
    <s v="2024-11-22"/>
    <x v="1"/>
    <x v="5"/>
    <x v="11"/>
    <x v="0"/>
    <n v="28.48"/>
    <m/>
    <n v="-28.48"/>
    <x v="10"/>
  </r>
  <r>
    <s v="2024-11-22"/>
    <x v="1"/>
    <x v="0"/>
    <x v="0"/>
    <x v="0"/>
    <n v="212.83"/>
    <m/>
    <n v="-212.83"/>
    <x v="10"/>
  </r>
  <r>
    <s v="2024-11-22"/>
    <x v="1"/>
    <x v="1"/>
    <x v="9"/>
    <x v="0"/>
    <n v="158.96"/>
    <m/>
    <n v="-158.96"/>
    <x v="10"/>
  </r>
  <r>
    <s v="2024-11-22"/>
    <x v="0"/>
    <x v="3"/>
    <x v="7"/>
    <x v="0"/>
    <n v="17.45"/>
    <m/>
    <n v="-17.45"/>
    <x v="10"/>
  </r>
  <r>
    <s v="2024-11-22"/>
    <x v="1"/>
    <x v="4"/>
    <x v="8"/>
    <x v="0"/>
    <n v="177.83"/>
    <m/>
    <n v="-177.83"/>
    <x v="10"/>
  </r>
  <r>
    <s v="2024-11-25"/>
    <x v="0"/>
    <x v="5"/>
    <x v="6"/>
    <x v="0"/>
    <n v="41.45"/>
    <m/>
    <n v="-41.45"/>
    <x v="10"/>
  </r>
  <r>
    <s v="2024-11-27"/>
    <x v="2"/>
    <x v="6"/>
    <x v="10"/>
    <x v="0"/>
    <n v="50.77"/>
    <m/>
    <n v="-50.77"/>
    <x v="10"/>
  </r>
  <r>
    <s v="2024-11-27"/>
    <x v="0"/>
    <x v="0"/>
    <x v="4"/>
    <x v="0"/>
    <n v="66.2"/>
    <m/>
    <n v="-66.2"/>
    <x v="10"/>
  </r>
  <r>
    <s v="2024-11-28"/>
    <x v="1"/>
    <x v="2"/>
    <x v="2"/>
    <x v="0"/>
    <n v="102.14"/>
    <m/>
    <n v="-102.14"/>
    <x v="10"/>
  </r>
  <r>
    <s v="2024-11-28"/>
    <x v="0"/>
    <x v="2"/>
    <x v="12"/>
    <x v="0"/>
    <n v="83.04"/>
    <m/>
    <n v="-83.04"/>
    <x v="10"/>
  </r>
  <r>
    <s v="2024-11-28"/>
    <x v="0"/>
    <x v="4"/>
    <x v="8"/>
    <x v="0"/>
    <n v="142.19"/>
    <m/>
    <n v="-142.19"/>
    <x v="10"/>
  </r>
  <r>
    <s v="2024-11-28"/>
    <x v="0"/>
    <x v="7"/>
    <x v="16"/>
    <x v="1"/>
    <m/>
    <n v="7461"/>
    <n v="7461"/>
    <x v="10"/>
  </r>
  <r>
    <s v="2024-12-02"/>
    <x v="0"/>
    <x v="6"/>
    <x v="15"/>
    <x v="0"/>
    <n v="142.74"/>
    <m/>
    <n v="-142.74"/>
    <x v="11"/>
  </r>
  <r>
    <s v="2024-12-02"/>
    <x v="1"/>
    <x v="2"/>
    <x v="14"/>
    <x v="0"/>
    <n v="106.94"/>
    <m/>
    <n v="-106.94"/>
    <x v="11"/>
  </r>
  <r>
    <s v="2024-12-03"/>
    <x v="0"/>
    <x v="2"/>
    <x v="14"/>
    <x v="0"/>
    <n v="71.41"/>
    <m/>
    <n v="-71.41"/>
    <x v="11"/>
  </r>
  <r>
    <s v="2024-12-03"/>
    <x v="1"/>
    <x v="0"/>
    <x v="4"/>
    <x v="0"/>
    <n v="222.8"/>
    <m/>
    <n v="-222.8"/>
    <x v="11"/>
  </r>
  <r>
    <s v="2024-12-03"/>
    <x v="1"/>
    <x v="5"/>
    <x v="6"/>
    <x v="0"/>
    <n v="217.55"/>
    <m/>
    <n v="-217.55"/>
    <x v="11"/>
  </r>
  <r>
    <s v="2024-12-04"/>
    <x v="0"/>
    <x v="6"/>
    <x v="10"/>
    <x v="0"/>
    <n v="102.76"/>
    <m/>
    <n v="-102.76"/>
    <x v="11"/>
  </r>
  <r>
    <s v="2024-12-04"/>
    <x v="1"/>
    <x v="0"/>
    <x v="0"/>
    <x v="0"/>
    <n v="74.44"/>
    <m/>
    <n v="-74.44"/>
    <x v="11"/>
  </r>
  <r>
    <s v="2024-12-04"/>
    <x v="0"/>
    <x v="2"/>
    <x v="14"/>
    <x v="0"/>
    <n v="119.02"/>
    <m/>
    <n v="-119.02"/>
    <x v="11"/>
  </r>
  <r>
    <s v="2024-12-04"/>
    <x v="0"/>
    <x v="5"/>
    <x v="13"/>
    <x v="0"/>
    <n v="56.52"/>
    <m/>
    <n v="-56.52"/>
    <x v="11"/>
  </r>
  <r>
    <s v="2024-12-05"/>
    <x v="0"/>
    <x v="4"/>
    <x v="5"/>
    <x v="0"/>
    <n v="174.35"/>
    <m/>
    <n v="-174.35"/>
    <x v="11"/>
  </r>
  <r>
    <s v="2024-12-05"/>
    <x v="0"/>
    <x v="2"/>
    <x v="2"/>
    <x v="0"/>
    <n v="28.63"/>
    <m/>
    <n v="-28.63"/>
    <x v="11"/>
  </r>
  <r>
    <s v="2024-12-06"/>
    <x v="0"/>
    <x v="4"/>
    <x v="8"/>
    <x v="0"/>
    <n v="153.97"/>
    <m/>
    <n v="-153.97"/>
    <x v="11"/>
  </r>
  <r>
    <s v="2024-12-07"/>
    <x v="1"/>
    <x v="5"/>
    <x v="6"/>
    <x v="0"/>
    <n v="175.92"/>
    <m/>
    <n v="-175.92"/>
    <x v="11"/>
  </r>
  <r>
    <s v="2024-12-08"/>
    <x v="0"/>
    <x v="0"/>
    <x v="0"/>
    <x v="0"/>
    <n v="107.47"/>
    <m/>
    <n v="-107.47"/>
    <x v="11"/>
  </r>
  <r>
    <s v="2024-12-08"/>
    <x v="1"/>
    <x v="1"/>
    <x v="1"/>
    <x v="0"/>
    <n v="57.76"/>
    <m/>
    <n v="-57.76"/>
    <x v="11"/>
  </r>
  <r>
    <s v="2024-12-09"/>
    <x v="1"/>
    <x v="0"/>
    <x v="0"/>
    <x v="0"/>
    <n v="21.36"/>
    <m/>
    <n v="-21.36"/>
    <x v="11"/>
  </r>
  <r>
    <s v="2024-12-09"/>
    <x v="1"/>
    <x v="6"/>
    <x v="15"/>
    <x v="0"/>
    <n v="136.05000000000001"/>
    <m/>
    <n v="-136.05000000000001"/>
    <x v="11"/>
  </r>
  <r>
    <s v="2024-12-10"/>
    <x v="0"/>
    <x v="3"/>
    <x v="3"/>
    <x v="0"/>
    <n v="60.67"/>
    <m/>
    <n v="-60.67"/>
    <x v="11"/>
  </r>
  <r>
    <s v="2024-12-11"/>
    <x v="0"/>
    <x v="2"/>
    <x v="12"/>
    <x v="0"/>
    <n v="170.75"/>
    <m/>
    <n v="-170.75"/>
    <x v="11"/>
  </r>
  <r>
    <s v="2024-12-11"/>
    <x v="1"/>
    <x v="3"/>
    <x v="7"/>
    <x v="0"/>
    <n v="89.26"/>
    <m/>
    <n v="-89.26"/>
    <x v="11"/>
  </r>
  <r>
    <s v="2024-12-11"/>
    <x v="1"/>
    <x v="1"/>
    <x v="9"/>
    <x v="0"/>
    <n v="207.97"/>
    <m/>
    <n v="-207.97"/>
    <x v="11"/>
  </r>
  <r>
    <s v="2024-12-12"/>
    <x v="1"/>
    <x v="4"/>
    <x v="5"/>
    <x v="0"/>
    <n v="70.12"/>
    <m/>
    <n v="-70.12"/>
    <x v="11"/>
  </r>
  <r>
    <s v="2024-12-13"/>
    <x v="0"/>
    <x v="1"/>
    <x v="1"/>
    <x v="0"/>
    <n v="123.87"/>
    <m/>
    <n v="-123.87"/>
    <x v="11"/>
  </r>
  <r>
    <s v="2024-12-14"/>
    <x v="0"/>
    <x v="2"/>
    <x v="14"/>
    <x v="0"/>
    <n v="133.38999999999999"/>
    <m/>
    <n v="-133.38999999999999"/>
    <x v="11"/>
  </r>
  <r>
    <s v="2024-12-14"/>
    <x v="0"/>
    <x v="2"/>
    <x v="12"/>
    <x v="0"/>
    <n v="82.85"/>
    <m/>
    <n v="-82.85"/>
    <x v="11"/>
  </r>
  <r>
    <s v="2024-12-15"/>
    <x v="1"/>
    <x v="2"/>
    <x v="2"/>
    <x v="0"/>
    <n v="169.28"/>
    <m/>
    <n v="-169.28"/>
    <x v="11"/>
  </r>
  <r>
    <s v="2024-12-15"/>
    <x v="1"/>
    <x v="5"/>
    <x v="6"/>
    <x v="0"/>
    <n v="193.76"/>
    <m/>
    <n v="-193.76"/>
    <x v="11"/>
  </r>
  <r>
    <s v="2024-12-15"/>
    <x v="0"/>
    <x v="0"/>
    <x v="4"/>
    <x v="0"/>
    <n v="144.03"/>
    <m/>
    <n v="-144.03"/>
    <x v="11"/>
  </r>
  <r>
    <s v="2024-12-15"/>
    <x v="0"/>
    <x v="6"/>
    <x v="15"/>
    <x v="0"/>
    <n v="171.48"/>
    <m/>
    <n v="-171.48"/>
    <x v="11"/>
  </r>
  <r>
    <s v="2024-12-16"/>
    <x v="2"/>
    <x v="6"/>
    <x v="10"/>
    <x v="0"/>
    <n v="119.91"/>
    <m/>
    <n v="-119.91"/>
    <x v="11"/>
  </r>
  <r>
    <s v="2024-12-17"/>
    <x v="0"/>
    <x v="4"/>
    <x v="5"/>
    <x v="0"/>
    <n v="69.77"/>
    <m/>
    <n v="-69.77"/>
    <x v="11"/>
  </r>
  <r>
    <s v="2024-12-17"/>
    <x v="0"/>
    <x v="5"/>
    <x v="13"/>
    <x v="0"/>
    <n v="45.21"/>
    <m/>
    <n v="-45.21"/>
    <x v="11"/>
  </r>
  <r>
    <s v="2024-12-18"/>
    <x v="0"/>
    <x v="2"/>
    <x v="12"/>
    <x v="0"/>
    <n v="97.89"/>
    <m/>
    <n v="-97.89"/>
    <x v="11"/>
  </r>
  <r>
    <s v="2024-12-20"/>
    <x v="1"/>
    <x v="3"/>
    <x v="3"/>
    <x v="0"/>
    <n v="233.61"/>
    <m/>
    <n v="-233.61"/>
    <x v="11"/>
  </r>
  <r>
    <s v="2024-12-21"/>
    <x v="1"/>
    <x v="2"/>
    <x v="12"/>
    <x v="0"/>
    <n v="81.95"/>
    <m/>
    <n v="-81.95"/>
    <x v="11"/>
  </r>
  <r>
    <s v="2024-12-21"/>
    <x v="0"/>
    <x v="1"/>
    <x v="1"/>
    <x v="0"/>
    <n v="101.93"/>
    <m/>
    <n v="-101.93"/>
    <x v="11"/>
  </r>
  <r>
    <s v="2024-12-22"/>
    <x v="1"/>
    <x v="2"/>
    <x v="12"/>
    <x v="0"/>
    <n v="116.47"/>
    <m/>
    <n v="-116.47"/>
    <x v="11"/>
  </r>
  <r>
    <s v="2024-12-22"/>
    <x v="0"/>
    <x v="2"/>
    <x v="2"/>
    <x v="0"/>
    <n v="128.43"/>
    <m/>
    <n v="-128.43"/>
    <x v="11"/>
  </r>
  <r>
    <s v="2024-12-23"/>
    <x v="1"/>
    <x v="4"/>
    <x v="8"/>
    <x v="0"/>
    <n v="33.11"/>
    <m/>
    <n v="-33.11"/>
    <x v="11"/>
  </r>
  <r>
    <s v="2024-12-23"/>
    <x v="0"/>
    <x v="5"/>
    <x v="6"/>
    <x v="0"/>
    <n v="228.08"/>
    <m/>
    <n v="-228.08"/>
    <x v="11"/>
  </r>
  <r>
    <s v="2024-12-23"/>
    <x v="0"/>
    <x v="4"/>
    <x v="5"/>
    <x v="0"/>
    <n v="22.59"/>
    <m/>
    <n v="-22.59"/>
    <x v="11"/>
  </r>
  <r>
    <s v="2024-12-25"/>
    <x v="0"/>
    <x v="2"/>
    <x v="2"/>
    <x v="0"/>
    <n v="114.29"/>
    <m/>
    <n v="-114.29"/>
    <x v="11"/>
  </r>
  <r>
    <s v="2024-12-25"/>
    <x v="2"/>
    <x v="6"/>
    <x v="10"/>
    <x v="0"/>
    <n v="182.27"/>
    <m/>
    <n v="-182.27"/>
    <x v="11"/>
  </r>
  <r>
    <s v="2024-12-26"/>
    <x v="0"/>
    <x v="5"/>
    <x v="6"/>
    <x v="0"/>
    <n v="213.02"/>
    <m/>
    <n v="-213.02"/>
    <x v="11"/>
  </r>
  <r>
    <s v="2024-12-26"/>
    <x v="1"/>
    <x v="0"/>
    <x v="0"/>
    <x v="0"/>
    <n v="112.76"/>
    <m/>
    <n v="-112.76"/>
    <x v="11"/>
  </r>
  <r>
    <s v="2024-12-27"/>
    <x v="1"/>
    <x v="2"/>
    <x v="12"/>
    <x v="0"/>
    <n v="142.69"/>
    <m/>
    <n v="-142.69"/>
    <x v="11"/>
  </r>
  <r>
    <s v="2024-12-27"/>
    <x v="0"/>
    <x v="1"/>
    <x v="1"/>
    <x v="0"/>
    <n v="125.66"/>
    <m/>
    <n v="-125.66"/>
    <x v="11"/>
  </r>
  <r>
    <s v="2024-12-27"/>
    <x v="0"/>
    <x v="1"/>
    <x v="9"/>
    <x v="0"/>
    <n v="113.05"/>
    <m/>
    <n v="-113.05"/>
    <x v="11"/>
  </r>
  <r>
    <s v="2024-12-28"/>
    <x v="0"/>
    <x v="0"/>
    <x v="0"/>
    <x v="0"/>
    <n v="62.44"/>
    <m/>
    <n v="-62.44"/>
    <x v="11"/>
  </r>
  <r>
    <s v="2024-12-28"/>
    <x v="0"/>
    <x v="4"/>
    <x v="5"/>
    <x v="0"/>
    <n v="192.93"/>
    <m/>
    <n v="-192.93"/>
    <x v="11"/>
  </r>
  <r>
    <s v="2024-12-28"/>
    <x v="0"/>
    <x v="7"/>
    <x v="16"/>
    <x v="1"/>
    <m/>
    <n v="7461"/>
    <n v="7461"/>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8430B89-437A-4F41-B059-2A0745E81C6B}" name="PivotTable9" cacheId="125" applyNumberFormats="0" applyBorderFormats="0" applyFontFormats="0" applyPatternFormats="0" applyAlignmentFormats="0" applyWidthHeightFormats="1" dataCaption="Values" updatedVersion="8" minRefreshableVersion="3" itemPrintTitles="1" createdVersion="8" indent="0" outline="1" outlineData="1" multipleFieldFilters="0" rowHeaderCaption="Row Columns">
  <location ref="T5:U8" firstHeaderRow="1" firstDataRow="1" firstDataCol="1"/>
  <pivotFields count="9">
    <pivotField showAll="0"/>
    <pivotField showAll="0"/>
    <pivotField showAll="0"/>
    <pivotField showAll="0"/>
    <pivotField axis="axisRow" showAll="0">
      <items count="3">
        <item x="0"/>
        <item x="1"/>
        <item t="default"/>
      </items>
    </pivotField>
    <pivotField showAll="0"/>
    <pivotField showAll="0"/>
    <pivotField dataField="1" showAll="0"/>
    <pivotField showAll="0">
      <items count="13">
        <item x="0"/>
        <item x="1"/>
        <item x="2"/>
        <item x="3"/>
        <item x="4"/>
        <item x="5"/>
        <item x="6"/>
        <item x="7"/>
        <item x="8"/>
        <item x="9"/>
        <item x="10"/>
        <item x="11"/>
        <item t="default"/>
      </items>
    </pivotField>
  </pivotFields>
  <rowFields count="1">
    <field x="4"/>
  </rowFields>
  <rowItems count="3">
    <i>
      <x/>
    </i>
    <i>
      <x v="1"/>
    </i>
    <i t="grand">
      <x/>
    </i>
  </rowItems>
  <colItems count="1">
    <i/>
  </colItems>
  <dataFields count="1">
    <dataField name="Sum of Amount" fld="7" baseField="0" baseItem="0" numFmtId="173"/>
  </dataFields>
  <formats count="1">
    <format dxfId="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87F3370-523C-421F-B80D-9FA4C4A818BF}" name="PivotTable8" cacheId="125" applyNumberFormats="0" applyBorderFormats="0" applyFontFormats="0" applyPatternFormats="0" applyAlignmentFormats="0" applyWidthHeightFormats="1" dataCaption="Values" updatedVersion="8" minRefreshableVersion="3" itemPrintTitles="1" createdVersion="8" indent="0" outline="1" outlineData="1" multipleFieldFilters="0" rowHeaderCaption="Row Columns">
  <location ref="Q5:R14" firstHeaderRow="1" firstDataRow="1" firstDataCol="1"/>
  <pivotFields count="9">
    <pivotField showAll="0"/>
    <pivotField showAll="0"/>
    <pivotField axis="axisRow" showAll="0">
      <items count="9">
        <item x="1"/>
        <item x="3"/>
        <item x="6"/>
        <item x="0"/>
        <item x="5"/>
        <item x="7"/>
        <item x="4"/>
        <item x="2"/>
        <item t="default"/>
      </items>
    </pivotField>
    <pivotField showAll="0"/>
    <pivotField showAll="0"/>
    <pivotField showAll="0"/>
    <pivotField showAll="0"/>
    <pivotField dataField="1" showAll="0"/>
    <pivotField showAll="0">
      <items count="13">
        <item x="0"/>
        <item x="1"/>
        <item x="2"/>
        <item x="3"/>
        <item x="4"/>
        <item x="5"/>
        <item x="6"/>
        <item x="7"/>
        <item x="8"/>
        <item x="9"/>
        <item x="10"/>
        <item x="11"/>
        <item t="default"/>
      </items>
    </pivotField>
  </pivotFields>
  <rowFields count="1">
    <field x="2"/>
  </rowFields>
  <rowItems count="9">
    <i>
      <x/>
    </i>
    <i>
      <x v="1"/>
    </i>
    <i>
      <x v="2"/>
    </i>
    <i>
      <x v="3"/>
    </i>
    <i>
      <x v="4"/>
    </i>
    <i>
      <x v="5"/>
    </i>
    <i>
      <x v="6"/>
    </i>
    <i>
      <x v="7"/>
    </i>
    <i t="grand">
      <x/>
    </i>
  </rowItems>
  <colItems count="1">
    <i/>
  </colItems>
  <dataFields count="1">
    <dataField name="Sum of Amount" fld="7" baseField="0" baseItem="0"/>
  </dataFields>
  <formats count="2">
    <format dxfId="6">
      <pivotArea outline="0" collapsedLevelsAreSubtotals="1" fieldPosition="0"/>
    </format>
    <format dxfId="5">
      <pivotArea collapsedLevelsAreSubtotals="1" fieldPosition="0">
        <references count="1">
          <reference field="2"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78719E1-C07F-4368-8038-0F6F4FF45899}" name="PivotTable7" cacheId="125" applyNumberFormats="0" applyBorderFormats="0" applyFontFormats="0" applyPatternFormats="0" applyAlignmentFormats="0" applyWidthHeightFormats="1" dataCaption="Values" updatedVersion="8" minRefreshableVersion="3" rowGrandTotals="0" itemPrintTitles="1" createdVersion="8" indent="0" outline="1" outlineData="1" multipleFieldFilters="0" rowHeaderCaption="Row Columns">
  <location ref="N5:O21" firstHeaderRow="1" firstDataRow="1" firstDataCol="1" rowPageCount="1" colPageCount="1"/>
  <pivotFields count="9">
    <pivotField showAll="0"/>
    <pivotField showAll="0"/>
    <pivotField showAll="0" sortType="descending">
      <autoSortScope>
        <pivotArea dataOnly="0" outline="0" fieldPosition="0">
          <references count="1">
            <reference field="4294967294" count="1" selected="0">
              <x v="0"/>
            </reference>
          </references>
        </pivotArea>
      </autoSortScope>
    </pivotField>
    <pivotField axis="axisRow" showAll="0">
      <items count="18">
        <item x="3"/>
        <item x="12"/>
        <item x="9"/>
        <item x="15"/>
        <item x="8"/>
        <item x="14"/>
        <item x="10"/>
        <item x="0"/>
        <item x="13"/>
        <item x="4"/>
        <item x="16"/>
        <item x="2"/>
        <item x="6"/>
        <item x="5"/>
        <item x="1"/>
        <item x="7"/>
        <item x="11"/>
        <item t="default"/>
      </items>
    </pivotField>
    <pivotField axis="axisPage" showAll="0">
      <items count="3">
        <item x="0"/>
        <item x="1"/>
        <item t="default"/>
      </items>
    </pivotField>
    <pivotField dataField="1" showAll="0"/>
    <pivotField showAll="0"/>
    <pivotField showAll="0"/>
    <pivotField showAll="0">
      <items count="13">
        <item x="0"/>
        <item x="1"/>
        <item x="2"/>
        <item x="3"/>
        <item x="4"/>
        <item x="5"/>
        <item x="6"/>
        <item x="7"/>
        <item x="8"/>
        <item x="9"/>
        <item x="10"/>
        <item x="11"/>
        <item t="default"/>
      </items>
    </pivotField>
  </pivotFields>
  <rowFields count="1">
    <field x="3"/>
  </rowFields>
  <rowItems count="16">
    <i>
      <x/>
    </i>
    <i>
      <x v="1"/>
    </i>
    <i>
      <x v="2"/>
    </i>
    <i>
      <x v="3"/>
    </i>
    <i>
      <x v="4"/>
    </i>
    <i>
      <x v="5"/>
    </i>
    <i>
      <x v="6"/>
    </i>
    <i>
      <x v="7"/>
    </i>
    <i>
      <x v="8"/>
    </i>
    <i>
      <x v="9"/>
    </i>
    <i>
      <x v="11"/>
    </i>
    <i>
      <x v="12"/>
    </i>
    <i>
      <x v="13"/>
    </i>
    <i>
      <x v="14"/>
    </i>
    <i>
      <x v="15"/>
    </i>
    <i>
      <x v="16"/>
    </i>
  </rowItems>
  <colItems count="1">
    <i/>
  </colItems>
  <pageFields count="1">
    <pageField fld="4" item="0" hier="-1"/>
  </pageFields>
  <dataFields count="1">
    <dataField name="Sum of Debit" fld="5" baseField="0" baseItem="0" numFmtId="168"/>
  </dataFields>
  <formats count="1">
    <format dxfId="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AAABB70-64A5-45BE-9836-543A17F684E5}" name="PivotTable6" cacheId="125" applyNumberFormats="0" applyBorderFormats="0" applyFontFormats="0" applyPatternFormats="0" applyAlignmentFormats="0" applyWidthHeightFormats="1" dataCaption="Values" updatedVersion="8" minRefreshableVersion="3" rowGrandTotals="0" itemPrintTitles="1" createdVersion="8" indent="0" outline="1" outlineData="1" multipleFieldFilters="0" rowHeaderCaption="Row Columns">
  <location ref="K5:L17" firstHeaderRow="1" firstDataRow="1" firstDataCol="1" rowPageCount="1" colPageCount="1"/>
  <pivotFields count="9">
    <pivotField showAll="0"/>
    <pivotField showAll="0"/>
    <pivotField showAll="0"/>
    <pivotField showAll="0"/>
    <pivotField axis="axisPage" showAll="0">
      <items count="3">
        <item x="0"/>
        <item x="1"/>
        <item t="default"/>
      </items>
    </pivotField>
    <pivotField showAll="0"/>
    <pivotField dataField="1" showAll="0"/>
    <pivotField showAll="0"/>
    <pivotField axis="axisRow" showAll="0">
      <items count="13">
        <item x="0"/>
        <item x="1"/>
        <item x="2"/>
        <item x="3"/>
        <item x="4"/>
        <item x="5"/>
        <item x="6"/>
        <item x="7"/>
        <item x="8"/>
        <item x="9"/>
        <item x="10"/>
        <item x="11"/>
        <item t="default"/>
      </items>
    </pivotField>
  </pivotFields>
  <rowFields count="1">
    <field x="8"/>
  </rowFields>
  <rowItems count="12">
    <i>
      <x/>
    </i>
    <i>
      <x v="1"/>
    </i>
    <i>
      <x v="2"/>
    </i>
    <i>
      <x v="3"/>
    </i>
    <i>
      <x v="4"/>
    </i>
    <i>
      <x v="5"/>
    </i>
    <i>
      <x v="6"/>
    </i>
    <i>
      <x v="7"/>
    </i>
    <i>
      <x v="8"/>
    </i>
    <i>
      <x v="9"/>
    </i>
    <i>
      <x v="10"/>
    </i>
    <i>
      <x v="11"/>
    </i>
  </rowItems>
  <colItems count="1">
    <i/>
  </colItems>
  <pageFields count="1">
    <pageField fld="4" item="1" hier="-1"/>
  </pageFields>
  <dataFields count="1">
    <dataField name="Sum of Credit" fld="6" baseField="0" baseItem="0" numFmtId="172"/>
  </dataFields>
  <formats count="3">
    <format dxfId="8">
      <pivotArea collapsedLevelsAreSubtotals="1" fieldPosition="0">
        <references count="1">
          <reference field="8" count="1">
            <x v="0"/>
          </reference>
        </references>
      </pivotArea>
    </format>
    <format dxfId="9">
      <pivotArea outline="0" collapsedLevelsAreSubtotals="1" fieldPosition="0"/>
    </format>
    <format dxfId="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24F253-F7B6-418A-BDCF-19E64C161072}" name="PivotTable5" cacheId="125" applyNumberFormats="0" applyBorderFormats="0" applyFontFormats="0" applyPatternFormats="0" applyAlignmentFormats="0" applyWidthHeightFormats="1" dataCaption="Values" updatedVersion="8" minRefreshableVersion="3" rowGrandTotals="0" itemPrintTitles="1" createdVersion="8" indent="0" outline="1" outlineData="1" multipleFieldFilters="0" rowHeaderCaption="Row Columns">
  <location ref="H5:I17" firstHeaderRow="1" firstDataRow="1" firstDataCol="1" rowPageCount="1" colPageCount="1"/>
  <pivotFields count="9">
    <pivotField showAll="0"/>
    <pivotField showAll="0"/>
    <pivotField showAll="0" sortType="descending">
      <autoSortScope>
        <pivotArea dataOnly="0" outline="0" fieldPosition="0">
          <references count="1">
            <reference field="4294967294" count="1" selected="0">
              <x v="0"/>
            </reference>
          </references>
        </pivotArea>
      </autoSortScope>
    </pivotField>
    <pivotField showAll="0"/>
    <pivotField axis="axisPage" showAll="0">
      <items count="3">
        <item x="0"/>
        <item x="1"/>
        <item t="default"/>
      </items>
    </pivotField>
    <pivotField dataField="1" showAll="0"/>
    <pivotField showAll="0"/>
    <pivotField showAll="0"/>
    <pivotField axis="axisRow" showAll="0">
      <items count="13">
        <item x="0"/>
        <item x="1"/>
        <item x="2"/>
        <item x="3"/>
        <item x="4"/>
        <item x="5"/>
        <item x="6"/>
        <item x="7"/>
        <item x="8"/>
        <item x="9"/>
        <item x="10"/>
        <item x="11"/>
        <item t="default"/>
      </items>
    </pivotField>
  </pivotFields>
  <rowFields count="1">
    <field x="8"/>
  </rowFields>
  <rowItems count="12">
    <i>
      <x/>
    </i>
    <i>
      <x v="1"/>
    </i>
    <i>
      <x v="2"/>
    </i>
    <i>
      <x v="3"/>
    </i>
    <i>
      <x v="4"/>
    </i>
    <i>
      <x v="5"/>
    </i>
    <i>
      <x v="6"/>
    </i>
    <i>
      <x v="7"/>
    </i>
    <i>
      <x v="8"/>
    </i>
    <i>
      <x v="9"/>
    </i>
    <i>
      <x v="10"/>
    </i>
    <i>
      <x v="11"/>
    </i>
  </rowItems>
  <colItems count="1">
    <i/>
  </colItems>
  <pageFields count="1">
    <pageField fld="4" item="0" hier="-1"/>
  </pageFields>
  <dataFields count="1">
    <dataField name="Sum of Debit" fld="5" baseField="0" baseItem="0" numFmtId="171"/>
  </dataFields>
  <formats count="2">
    <format dxfId="10">
      <pivotArea outline="0" collapsedLevelsAreSubtotals="1" fieldPosition="0"/>
    </format>
    <format dxfId="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B43E161-B666-4614-9BDF-5D6D44C33268}" name="PivotTable4" cacheId="125"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8" rowHeaderCaption="Row Columns">
  <location ref="E5:F9" firstHeaderRow="1" firstDataRow="1" firstDataCol="1"/>
  <pivotFields count="9">
    <pivotField showAll="0"/>
    <pivotField axis="axisRow" showAll="0">
      <items count="4">
        <item x="2"/>
        <item x="0"/>
        <item x="1"/>
        <item t="default"/>
      </items>
    </pivotField>
    <pivotField showAll="0" sortType="descending">
      <autoSortScope>
        <pivotArea dataOnly="0" outline="0" fieldPosition="0">
          <references count="1">
            <reference field="4294967294" count="1" selected="0">
              <x v="0"/>
            </reference>
          </references>
        </pivotArea>
      </autoSortScope>
    </pivotField>
    <pivotField showAll="0"/>
    <pivotField showAll="0"/>
    <pivotField dataField="1" showAll="0"/>
    <pivotField showAll="0"/>
    <pivotField showAll="0"/>
    <pivotField showAll="0">
      <items count="13">
        <item x="0"/>
        <item x="1"/>
        <item x="2"/>
        <item x="3"/>
        <item x="4"/>
        <item x="5"/>
        <item x="6"/>
        <item x="7"/>
        <item x="8"/>
        <item x="9"/>
        <item x="10"/>
        <item x="11"/>
        <item t="default"/>
      </items>
    </pivotField>
  </pivotFields>
  <rowFields count="1">
    <field x="1"/>
  </rowFields>
  <rowItems count="4">
    <i>
      <x/>
    </i>
    <i>
      <x v="1"/>
    </i>
    <i>
      <x v="2"/>
    </i>
    <i t="grand">
      <x/>
    </i>
  </rowItems>
  <colItems count="1">
    <i/>
  </colItems>
  <dataFields count="1">
    <dataField name="Sum of Debit" fld="5" baseField="0" baseItem="0" numFmtId="168"/>
  </dataFields>
  <formats count="1">
    <format dxfId="11">
      <pivotArea outline="0" collapsedLevelsAreSubtotals="1" fieldPosition="0"/>
    </format>
  </formats>
  <chartFormats count="4">
    <chartFormat chart="4" format="1" series="1">
      <pivotArea type="data" outline="0" fieldPosition="0">
        <references count="1">
          <reference field="4294967294" count="1" selected="0">
            <x v="0"/>
          </reference>
        </references>
      </pivotArea>
    </chartFormat>
    <chartFormat chart="4" format="2">
      <pivotArea type="data" outline="0" fieldPosition="0">
        <references count="2">
          <reference field="4294967294" count="1" selected="0">
            <x v="0"/>
          </reference>
          <reference field="1" count="1" selected="0">
            <x v="0"/>
          </reference>
        </references>
      </pivotArea>
    </chartFormat>
    <chartFormat chart="4" format="3">
      <pivotArea type="data" outline="0" fieldPosition="0">
        <references count="2">
          <reference field="4294967294" count="1" selected="0">
            <x v="0"/>
          </reference>
          <reference field="1" count="1" selected="0">
            <x v="1"/>
          </reference>
        </references>
      </pivotArea>
    </chartFormat>
    <chartFormat chart="4" format="4">
      <pivotArea type="data" outline="0" fieldPosition="0">
        <references count="2">
          <reference field="4294967294" count="1" selected="0">
            <x v="0"/>
          </reference>
          <reference field="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2BB84C2-FF08-440A-9F56-FDD4D0AE0E95}" name="PivotTable3" cacheId="125" applyNumberFormats="0" applyBorderFormats="0" applyFontFormats="0" applyPatternFormats="0" applyAlignmentFormats="0" applyWidthHeightFormats="1" dataCaption="Values" updatedVersion="8" minRefreshableVersion="3" rowGrandTotals="0" itemPrintTitles="1" createdVersion="8" indent="0" outline="1" outlineData="1" multipleFieldFilters="0" rowHeaderCaption="Row Columns">
  <location ref="B5:C13" firstHeaderRow="1" firstDataRow="1" firstDataCol="1"/>
  <pivotFields count="9">
    <pivotField showAll="0"/>
    <pivotField showAll="0"/>
    <pivotField axis="axisRow" showAll="0" sortType="descending">
      <items count="9">
        <item x="1"/>
        <item x="3"/>
        <item x="6"/>
        <item x="0"/>
        <item x="5"/>
        <item x="7"/>
        <item x="4"/>
        <item x="2"/>
        <item t="default"/>
      </items>
      <autoSortScope>
        <pivotArea dataOnly="0" outline="0" fieldPosition="0">
          <references count="1">
            <reference field="4294967294" count="1" selected="0">
              <x v="0"/>
            </reference>
          </references>
        </pivotArea>
      </autoSortScope>
    </pivotField>
    <pivotField showAll="0"/>
    <pivotField showAll="0"/>
    <pivotField dataField="1" showAll="0"/>
    <pivotField showAll="0"/>
    <pivotField showAll="0"/>
    <pivotField showAll="0">
      <items count="13">
        <item x="0"/>
        <item x="1"/>
        <item x="2"/>
        <item x="3"/>
        <item x="4"/>
        <item x="5"/>
        <item x="6"/>
        <item x="7"/>
        <item x="8"/>
        <item x="9"/>
        <item x="10"/>
        <item x="11"/>
        <item t="default"/>
      </items>
    </pivotField>
  </pivotFields>
  <rowFields count="1">
    <field x="2"/>
  </rowFields>
  <rowItems count="8">
    <i>
      <x v="4"/>
    </i>
    <i>
      <x v="7"/>
    </i>
    <i>
      <x v="1"/>
    </i>
    <i>
      <x v="3"/>
    </i>
    <i>
      <x v="6"/>
    </i>
    <i>
      <x/>
    </i>
    <i>
      <x v="2"/>
    </i>
    <i>
      <x v="5"/>
    </i>
  </rowItems>
  <colItems count="1">
    <i/>
  </colItems>
  <dataFields count="1">
    <dataField name="Sum of Debit" fld="5" baseField="0" baseItem="0" numFmtId="168"/>
  </dataFields>
  <formats count="1">
    <format dxfId="1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013FC7C1-5647-4F78-B1A7-FB75BCB114C8}" sourceName="Month">
  <pivotTables>
    <pivotTable tabId="3" name="PivotTable5"/>
    <pivotTable tabId="3" name="PivotTable3"/>
    <pivotTable tabId="3" name="PivotTable4"/>
    <pivotTable tabId="3" name="PivotTable6"/>
    <pivotTable tabId="3" name="PivotTable7"/>
    <pivotTable tabId="3" name="PivotTable8"/>
    <pivotTable tabId="3" name="PivotTable9"/>
  </pivotTables>
  <data>
    <tabular pivotCacheId="533475895">
      <items count="12">
        <i x="0" s="1"/>
        <i x="1" s="1"/>
        <i x="2" s="1"/>
        <i x="3" s="1"/>
        <i x="4" s="1"/>
        <i x="5" s="1"/>
        <i x="6" s="1"/>
        <i x="7" s="1"/>
        <i x="8" s="1"/>
        <i x="9" s="1"/>
        <i x="10" s="1"/>
        <i x="11"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1D2FB147-1418-46CC-85BD-AF4C87F151D5}" cache="Slicer_Month" caption="Month" style="New"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0AB885-633D-4D49-A3DB-C52AC7FB47BB}" name="Table3" displayName="Table3" ref="A1:I613" totalsRowShown="0" headerRowDxfId="25" headerRowBorderDxfId="23" tableBorderDxfId="24" totalsRowBorderDxfId="22">
  <autoFilter ref="A1:I613" xr:uid="{8A0AB885-633D-4D49-A3DB-C52AC7FB47BB}"/>
  <tableColumns count="9">
    <tableColumn id="1" xr3:uid="{B4E690FF-3B6C-41DB-B9B9-AD9DB03E365A}" name="Date" dataDxfId="21"/>
    <tableColumn id="2" xr3:uid="{0AFD270F-478B-481E-AC2D-9D118A857121}" name="Account Type" dataDxfId="20"/>
    <tableColumn id="3" xr3:uid="{5DAE8788-6914-4244-A16F-7A4E87C33608}" name="Category" dataDxfId="19"/>
    <tableColumn id="4" xr3:uid="{EF9B07DF-83EF-4720-A5FB-3432480BB79A}" name="Subcategory" dataDxfId="18"/>
    <tableColumn id="5" xr3:uid="{5894FEC0-B207-4C21-BF52-CA818EE4C991}" name="Category Type" dataDxfId="17"/>
    <tableColumn id="6" xr3:uid="{A4E8F174-9DF2-4D23-B980-9A5629E1C5FA}" name="Debit" dataDxfId="16"/>
    <tableColumn id="7" xr3:uid="{5B93A9A2-C224-40EF-B951-DA43E33832D6}" name="Credit" dataDxfId="15"/>
    <tableColumn id="8" xr3:uid="{9D6BA145-41F8-470D-B133-B419F0AD5A6F}" name="Amount" dataDxfId="14"/>
    <tableColumn id="9" xr3:uid="{6DEAFABF-1D92-4D7C-B51A-8FAB1BDDF00D}" name="Month" dataDxfId="13">
      <calculatedColumnFormula>TEXT(Table3[[#This Row],[Date]],"mmm")</calculatedColumnFormula>
    </tableColumn>
  </tableColumns>
  <tableStyleInfo name="TableStyleMedium11"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4800A2-AFE8-4686-BA02-473C09BE7084}">
  <sheetPr codeName="Sheet1"/>
  <dimension ref="A1"/>
  <sheetViews>
    <sheetView showGridLines="0" tabSelected="1" zoomScale="79" zoomScaleNormal="79" workbookViewId="0">
      <selection activeCell="Z6" sqref="Z6"/>
    </sheetView>
  </sheetViews>
  <sheetFormatPr defaultRowHeight="14.4" x14ac:dyDescent="0.3"/>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I613"/>
  <sheetViews>
    <sheetView showGridLines="0" workbookViewId="0">
      <pane ySplit="1" topLeftCell="A95" activePane="bottomLeft" state="frozen"/>
      <selection pane="bottomLeft" activeCell="H2" sqref="H2"/>
    </sheetView>
  </sheetViews>
  <sheetFormatPr defaultRowHeight="14.4" x14ac:dyDescent="0.3"/>
  <cols>
    <col min="1" max="1" width="10.33203125" bestFit="1" customWidth="1"/>
    <col min="2" max="2" width="17" bestFit="1" customWidth="1"/>
    <col min="3" max="3" width="19.21875" bestFit="1" customWidth="1"/>
    <col min="4" max="4" width="18.6640625" bestFit="1" customWidth="1"/>
    <col min="5" max="5" width="17.6640625" bestFit="1" customWidth="1"/>
    <col min="6" max="6" width="9.88671875" bestFit="1" customWidth="1"/>
    <col min="7" max="7" width="10.44140625" bestFit="1" customWidth="1"/>
    <col min="8" max="8" width="12.33203125" bestFit="1" customWidth="1"/>
    <col min="9" max="9" width="11.21875" style="13" bestFit="1" customWidth="1"/>
  </cols>
  <sheetData>
    <row r="1" spans="1:9" x14ac:dyDescent="0.3">
      <c r="A1" s="3" t="s">
        <v>2</v>
      </c>
      <c r="B1" s="4" t="s">
        <v>4</v>
      </c>
      <c r="C1" s="4" t="s">
        <v>0</v>
      </c>
      <c r="D1" s="4" t="s">
        <v>1</v>
      </c>
      <c r="E1" s="4" t="s">
        <v>323</v>
      </c>
      <c r="F1" s="4" t="s">
        <v>3</v>
      </c>
      <c r="G1" s="4" t="s">
        <v>5</v>
      </c>
      <c r="H1" s="5" t="s">
        <v>325</v>
      </c>
      <c r="I1" s="14" t="s">
        <v>326</v>
      </c>
    </row>
    <row r="2" spans="1:9" x14ac:dyDescent="0.3">
      <c r="A2" s="8" t="s">
        <v>31</v>
      </c>
      <c r="B2" s="1" t="s">
        <v>320</v>
      </c>
      <c r="C2" s="1" t="s">
        <v>6</v>
      </c>
      <c r="D2" s="1" t="s">
        <v>14</v>
      </c>
      <c r="E2" s="1" t="s">
        <v>324</v>
      </c>
      <c r="F2" s="1">
        <v>219.22</v>
      </c>
      <c r="G2" s="1"/>
      <c r="H2" s="2">
        <f>F2*-1</f>
        <v>-219.22</v>
      </c>
      <c r="I2" s="15" t="str">
        <f>TEXT(Table3[[#This Row],[Date]],"mmm")</f>
        <v>Jan</v>
      </c>
    </row>
    <row r="3" spans="1:9" x14ac:dyDescent="0.3">
      <c r="A3" s="8" t="s">
        <v>31</v>
      </c>
      <c r="B3" s="1" t="s">
        <v>321</v>
      </c>
      <c r="C3" s="1" t="s">
        <v>7</v>
      </c>
      <c r="D3" s="1" t="s">
        <v>15</v>
      </c>
      <c r="E3" s="1" t="s">
        <v>324</v>
      </c>
      <c r="F3" s="1">
        <v>171.81</v>
      </c>
      <c r="G3" s="1"/>
      <c r="H3" s="2">
        <f t="shared" ref="H3:H66" si="0">F3*-1</f>
        <v>-171.81</v>
      </c>
      <c r="I3" s="16" t="str">
        <f>TEXT(Table3[[#This Row],[Date]],"mmm")</f>
        <v>Jan</v>
      </c>
    </row>
    <row r="4" spans="1:9" x14ac:dyDescent="0.3">
      <c r="A4" s="8" t="s">
        <v>31</v>
      </c>
      <c r="B4" s="1" t="s">
        <v>321</v>
      </c>
      <c r="C4" s="1" t="s">
        <v>8</v>
      </c>
      <c r="D4" s="1" t="s">
        <v>16</v>
      </c>
      <c r="E4" s="1" t="s">
        <v>324</v>
      </c>
      <c r="F4" s="1">
        <v>125.11</v>
      </c>
      <c r="G4" s="1"/>
      <c r="H4" s="2">
        <f t="shared" si="0"/>
        <v>-125.11</v>
      </c>
      <c r="I4" s="16" t="str">
        <f>TEXT(Table3[[#This Row],[Date]],"mmm")</f>
        <v>Jan</v>
      </c>
    </row>
    <row r="5" spans="1:9" x14ac:dyDescent="0.3">
      <c r="A5" s="8" t="s">
        <v>31</v>
      </c>
      <c r="B5" s="1" t="s">
        <v>321</v>
      </c>
      <c r="C5" s="1" t="s">
        <v>9</v>
      </c>
      <c r="D5" s="1" t="s">
        <v>17</v>
      </c>
      <c r="E5" s="1" t="s">
        <v>324</v>
      </c>
      <c r="F5" s="1">
        <v>98.06</v>
      </c>
      <c r="G5" s="1"/>
      <c r="H5" s="2">
        <f t="shared" si="0"/>
        <v>-98.06</v>
      </c>
      <c r="I5" s="16" t="str">
        <f>TEXT(Table3[[#This Row],[Date]],"mmm")</f>
        <v>Jan</v>
      </c>
    </row>
    <row r="6" spans="1:9" x14ac:dyDescent="0.3">
      <c r="A6" s="8" t="s">
        <v>32</v>
      </c>
      <c r="B6" s="1" t="s">
        <v>321</v>
      </c>
      <c r="C6" s="1" t="s">
        <v>8</v>
      </c>
      <c r="D6" s="1" t="s">
        <v>16</v>
      </c>
      <c r="E6" s="1" t="s">
        <v>324</v>
      </c>
      <c r="F6" s="1">
        <v>208.98</v>
      </c>
      <c r="G6" s="1"/>
      <c r="H6" s="2">
        <f t="shared" si="0"/>
        <v>-208.98</v>
      </c>
      <c r="I6" s="16" t="str">
        <f>TEXT(Table3[[#This Row],[Date]],"mmm")</f>
        <v>Jan</v>
      </c>
    </row>
    <row r="7" spans="1:9" x14ac:dyDescent="0.3">
      <c r="A7" s="8" t="s">
        <v>32</v>
      </c>
      <c r="B7" s="1" t="s">
        <v>320</v>
      </c>
      <c r="C7" s="1" t="s">
        <v>6</v>
      </c>
      <c r="D7" s="1" t="s">
        <v>18</v>
      </c>
      <c r="E7" s="1" t="s">
        <v>324</v>
      </c>
      <c r="F7" s="1">
        <v>172.53</v>
      </c>
      <c r="G7" s="1"/>
      <c r="H7" s="2">
        <f t="shared" si="0"/>
        <v>-172.53</v>
      </c>
      <c r="I7" s="16" t="str">
        <f>TEXT(Table3[[#This Row],[Date]],"mmm")</f>
        <v>Jan</v>
      </c>
    </row>
    <row r="8" spans="1:9" x14ac:dyDescent="0.3">
      <c r="A8" s="8" t="s">
        <v>32</v>
      </c>
      <c r="B8" s="1" t="s">
        <v>320</v>
      </c>
      <c r="C8" s="1" t="s">
        <v>10</v>
      </c>
      <c r="D8" s="1" t="s">
        <v>19</v>
      </c>
      <c r="E8" s="1" t="s">
        <v>324</v>
      </c>
      <c r="F8" s="1">
        <v>41.22</v>
      </c>
      <c r="G8" s="1"/>
      <c r="H8" s="2">
        <f t="shared" si="0"/>
        <v>-41.22</v>
      </c>
      <c r="I8" s="16" t="str">
        <f>TEXT(Table3[[#This Row],[Date]],"mmm")</f>
        <v>Jan</v>
      </c>
    </row>
    <row r="9" spans="1:9" x14ac:dyDescent="0.3">
      <c r="A9" s="8" t="s">
        <v>32</v>
      </c>
      <c r="B9" s="1" t="s">
        <v>320</v>
      </c>
      <c r="C9" s="1" t="s">
        <v>11</v>
      </c>
      <c r="D9" s="1" t="s">
        <v>20</v>
      </c>
      <c r="E9" s="1" t="s">
        <v>324</v>
      </c>
      <c r="F9" s="1">
        <v>24.54</v>
      </c>
      <c r="G9" s="1"/>
      <c r="H9" s="2">
        <f t="shared" si="0"/>
        <v>-24.54</v>
      </c>
      <c r="I9" s="16" t="str">
        <f>TEXT(Table3[[#This Row],[Date]],"mmm")</f>
        <v>Jan</v>
      </c>
    </row>
    <row r="10" spans="1:9" x14ac:dyDescent="0.3">
      <c r="A10" s="8" t="s">
        <v>32</v>
      </c>
      <c r="B10" s="1" t="s">
        <v>320</v>
      </c>
      <c r="C10" s="1" t="s">
        <v>9</v>
      </c>
      <c r="D10" s="1" t="s">
        <v>21</v>
      </c>
      <c r="E10" s="1" t="s">
        <v>324</v>
      </c>
      <c r="F10" s="1">
        <v>145.76</v>
      </c>
      <c r="G10" s="1"/>
      <c r="H10" s="2">
        <f t="shared" si="0"/>
        <v>-145.76</v>
      </c>
      <c r="I10" s="16" t="str">
        <f>TEXT(Table3[[#This Row],[Date]],"mmm")</f>
        <v>Jan</v>
      </c>
    </row>
    <row r="11" spans="1:9" x14ac:dyDescent="0.3">
      <c r="A11" s="8" t="s">
        <v>33</v>
      </c>
      <c r="B11" s="1" t="s">
        <v>321</v>
      </c>
      <c r="C11" s="1" t="s">
        <v>9</v>
      </c>
      <c r="D11" s="1" t="s">
        <v>17</v>
      </c>
      <c r="E11" s="1" t="s">
        <v>324</v>
      </c>
      <c r="F11" s="1">
        <v>142.53</v>
      </c>
      <c r="G11" s="1"/>
      <c r="H11" s="2">
        <f t="shared" si="0"/>
        <v>-142.53</v>
      </c>
      <c r="I11" s="16" t="str">
        <f>TEXT(Table3[[#This Row],[Date]],"mmm")</f>
        <v>Jan</v>
      </c>
    </row>
    <row r="12" spans="1:9" x14ac:dyDescent="0.3">
      <c r="A12" s="8" t="s">
        <v>34</v>
      </c>
      <c r="B12" s="1" t="s">
        <v>320</v>
      </c>
      <c r="C12" s="1" t="s">
        <v>11</v>
      </c>
      <c r="D12" s="1" t="s">
        <v>20</v>
      </c>
      <c r="E12" s="1" t="s">
        <v>324</v>
      </c>
      <c r="F12" s="1">
        <v>26.57</v>
      </c>
      <c r="G12" s="1"/>
      <c r="H12" s="2">
        <f t="shared" si="0"/>
        <v>-26.57</v>
      </c>
      <c r="I12" s="16" t="str">
        <f>TEXT(Table3[[#This Row],[Date]],"mmm")</f>
        <v>Jan</v>
      </c>
    </row>
    <row r="13" spans="1:9" x14ac:dyDescent="0.3">
      <c r="A13" s="8" t="s">
        <v>34</v>
      </c>
      <c r="B13" s="1" t="s">
        <v>321</v>
      </c>
      <c r="C13" s="1" t="s">
        <v>9</v>
      </c>
      <c r="D13" s="1" t="s">
        <v>17</v>
      </c>
      <c r="E13" s="1" t="s">
        <v>324</v>
      </c>
      <c r="F13" s="1">
        <v>127.22</v>
      </c>
      <c r="G13" s="1"/>
      <c r="H13" s="2">
        <f t="shared" si="0"/>
        <v>-127.22</v>
      </c>
      <c r="I13" s="16" t="str">
        <f>TEXT(Table3[[#This Row],[Date]],"mmm")</f>
        <v>Jan</v>
      </c>
    </row>
    <row r="14" spans="1:9" x14ac:dyDescent="0.3">
      <c r="A14" s="8" t="s">
        <v>34</v>
      </c>
      <c r="B14" s="1" t="s">
        <v>321</v>
      </c>
      <c r="C14" s="1" t="s">
        <v>10</v>
      </c>
      <c r="D14" s="1" t="s">
        <v>22</v>
      </c>
      <c r="E14" s="1" t="s">
        <v>324</v>
      </c>
      <c r="F14" s="1">
        <v>161.72</v>
      </c>
      <c r="G14" s="1"/>
      <c r="H14" s="2">
        <f t="shared" si="0"/>
        <v>-161.72</v>
      </c>
      <c r="I14" s="16" t="str">
        <f>TEXT(Table3[[#This Row],[Date]],"mmm")</f>
        <v>Jan</v>
      </c>
    </row>
    <row r="15" spans="1:9" x14ac:dyDescent="0.3">
      <c r="A15" s="8" t="s">
        <v>35</v>
      </c>
      <c r="B15" s="1" t="s">
        <v>320</v>
      </c>
      <c r="C15" s="1" t="s">
        <v>7</v>
      </c>
      <c r="D15" s="1" t="s">
        <v>23</v>
      </c>
      <c r="E15" s="1" t="s">
        <v>324</v>
      </c>
      <c r="F15" s="1">
        <v>68.95</v>
      </c>
      <c r="G15" s="1"/>
      <c r="H15" s="2">
        <f t="shared" si="0"/>
        <v>-68.95</v>
      </c>
      <c r="I15" s="16" t="str">
        <f>TEXT(Table3[[#This Row],[Date]],"mmm")</f>
        <v>Jan</v>
      </c>
    </row>
    <row r="16" spans="1:9" x14ac:dyDescent="0.3">
      <c r="A16" s="8" t="s">
        <v>35</v>
      </c>
      <c r="B16" s="1" t="s">
        <v>320</v>
      </c>
      <c r="C16" s="1" t="s">
        <v>12</v>
      </c>
      <c r="D16" s="1" t="s">
        <v>24</v>
      </c>
      <c r="E16" s="1" t="s">
        <v>324</v>
      </c>
      <c r="F16" s="1">
        <v>144.24</v>
      </c>
      <c r="G16" s="1"/>
      <c r="H16" s="2">
        <f t="shared" si="0"/>
        <v>-144.24</v>
      </c>
      <c r="I16" s="16" t="str">
        <f>TEXT(Table3[[#This Row],[Date]],"mmm")</f>
        <v>Jan</v>
      </c>
    </row>
    <row r="17" spans="1:9" x14ac:dyDescent="0.3">
      <c r="A17" s="8" t="s">
        <v>36</v>
      </c>
      <c r="B17" s="1" t="s">
        <v>320</v>
      </c>
      <c r="C17" s="1" t="s">
        <v>9</v>
      </c>
      <c r="D17" s="1" t="s">
        <v>17</v>
      </c>
      <c r="E17" s="1" t="s">
        <v>324</v>
      </c>
      <c r="F17" s="1">
        <v>104.01</v>
      </c>
      <c r="G17" s="1"/>
      <c r="H17" s="2">
        <f t="shared" si="0"/>
        <v>-104.01</v>
      </c>
      <c r="I17" s="16" t="str">
        <f>TEXT(Table3[[#This Row],[Date]],"mmm")</f>
        <v>Jan</v>
      </c>
    </row>
    <row r="18" spans="1:9" x14ac:dyDescent="0.3">
      <c r="A18" s="8" t="s">
        <v>37</v>
      </c>
      <c r="B18" s="1" t="s">
        <v>321</v>
      </c>
      <c r="C18" s="1" t="s">
        <v>11</v>
      </c>
      <c r="D18" s="1" t="s">
        <v>25</v>
      </c>
      <c r="E18" s="1" t="s">
        <v>324</v>
      </c>
      <c r="F18" s="1">
        <v>216.23</v>
      </c>
      <c r="G18" s="1"/>
      <c r="H18" s="2">
        <f t="shared" si="0"/>
        <v>-216.23</v>
      </c>
      <c r="I18" s="16" t="str">
        <f>TEXT(Table3[[#This Row],[Date]],"mmm")</f>
        <v>Jan</v>
      </c>
    </row>
    <row r="19" spans="1:9" x14ac:dyDescent="0.3">
      <c r="A19" s="8" t="s">
        <v>37</v>
      </c>
      <c r="B19" s="1" t="s">
        <v>320</v>
      </c>
      <c r="C19" s="1" t="s">
        <v>11</v>
      </c>
      <c r="D19" s="1" t="s">
        <v>25</v>
      </c>
      <c r="E19" s="1" t="s">
        <v>324</v>
      </c>
      <c r="F19" s="1">
        <v>164.26</v>
      </c>
      <c r="G19" s="1"/>
      <c r="H19" s="2">
        <f t="shared" si="0"/>
        <v>-164.26</v>
      </c>
      <c r="I19" s="16" t="str">
        <f>TEXT(Table3[[#This Row],[Date]],"mmm")</f>
        <v>Jan</v>
      </c>
    </row>
    <row r="20" spans="1:9" x14ac:dyDescent="0.3">
      <c r="A20" s="8" t="s">
        <v>37</v>
      </c>
      <c r="B20" s="1" t="s">
        <v>321</v>
      </c>
      <c r="C20" s="1" t="s">
        <v>11</v>
      </c>
      <c r="D20" s="1" t="s">
        <v>20</v>
      </c>
      <c r="E20" s="1" t="s">
        <v>324</v>
      </c>
      <c r="F20" s="1">
        <v>221.15</v>
      </c>
      <c r="G20" s="1"/>
      <c r="H20" s="2">
        <f t="shared" si="0"/>
        <v>-221.15</v>
      </c>
      <c r="I20" s="16" t="str">
        <f>TEXT(Table3[[#This Row],[Date]],"mmm")</f>
        <v>Jan</v>
      </c>
    </row>
    <row r="21" spans="1:9" x14ac:dyDescent="0.3">
      <c r="A21" s="8" t="s">
        <v>38</v>
      </c>
      <c r="B21" s="1" t="s">
        <v>321</v>
      </c>
      <c r="C21" s="1" t="s">
        <v>8</v>
      </c>
      <c r="D21" s="1" t="s">
        <v>26</v>
      </c>
      <c r="E21" s="1" t="s">
        <v>324</v>
      </c>
      <c r="F21" s="1">
        <v>125.86</v>
      </c>
      <c r="G21" s="1"/>
      <c r="H21" s="2">
        <f t="shared" si="0"/>
        <v>-125.86</v>
      </c>
      <c r="I21" s="16" t="str">
        <f>TEXT(Table3[[#This Row],[Date]],"mmm")</f>
        <v>Jan</v>
      </c>
    </row>
    <row r="22" spans="1:9" x14ac:dyDescent="0.3">
      <c r="A22" s="8" t="s">
        <v>39</v>
      </c>
      <c r="B22" s="1" t="s">
        <v>321</v>
      </c>
      <c r="C22" s="1" t="s">
        <v>11</v>
      </c>
      <c r="D22" s="1" t="s">
        <v>20</v>
      </c>
      <c r="E22" s="1" t="s">
        <v>324</v>
      </c>
      <c r="F22" s="1">
        <v>130.5</v>
      </c>
      <c r="G22" s="1"/>
      <c r="H22" s="2">
        <f t="shared" si="0"/>
        <v>-130.5</v>
      </c>
      <c r="I22" s="16" t="str">
        <f>TEXT(Table3[[#This Row],[Date]],"mmm")</f>
        <v>Jan</v>
      </c>
    </row>
    <row r="23" spans="1:9" x14ac:dyDescent="0.3">
      <c r="A23" s="8" t="s">
        <v>39</v>
      </c>
      <c r="B23" s="1" t="s">
        <v>321</v>
      </c>
      <c r="C23" s="1" t="s">
        <v>12</v>
      </c>
      <c r="D23" s="1" t="s">
        <v>24</v>
      </c>
      <c r="E23" s="1" t="s">
        <v>324</v>
      </c>
      <c r="F23" s="1">
        <v>108.45</v>
      </c>
      <c r="G23" s="1"/>
      <c r="H23" s="2">
        <f t="shared" si="0"/>
        <v>-108.45</v>
      </c>
      <c r="I23" s="16" t="str">
        <f>TEXT(Table3[[#This Row],[Date]],"mmm")</f>
        <v>Jan</v>
      </c>
    </row>
    <row r="24" spans="1:9" x14ac:dyDescent="0.3">
      <c r="A24" s="8" t="s">
        <v>40</v>
      </c>
      <c r="B24" s="1" t="s">
        <v>320</v>
      </c>
      <c r="C24" s="1" t="s">
        <v>11</v>
      </c>
      <c r="D24" s="1" t="s">
        <v>27</v>
      </c>
      <c r="E24" s="1" t="s">
        <v>324</v>
      </c>
      <c r="F24" s="1">
        <v>18.79</v>
      </c>
      <c r="G24" s="1"/>
      <c r="H24" s="2">
        <f t="shared" si="0"/>
        <v>-18.79</v>
      </c>
      <c r="I24" s="16" t="str">
        <f>TEXT(Table3[[#This Row],[Date]],"mmm")</f>
        <v>Jan</v>
      </c>
    </row>
    <row r="25" spans="1:9" x14ac:dyDescent="0.3">
      <c r="A25" s="8" t="s">
        <v>40</v>
      </c>
      <c r="B25" s="1" t="s">
        <v>320</v>
      </c>
      <c r="C25" s="1" t="s">
        <v>11</v>
      </c>
      <c r="D25" s="1" t="s">
        <v>27</v>
      </c>
      <c r="E25" s="1" t="s">
        <v>324</v>
      </c>
      <c r="F25" s="1">
        <v>146.49</v>
      </c>
      <c r="G25" s="1"/>
      <c r="H25" s="2">
        <f t="shared" si="0"/>
        <v>-146.49</v>
      </c>
      <c r="I25" s="16" t="str">
        <f>TEXT(Table3[[#This Row],[Date]],"mmm")</f>
        <v>Jan</v>
      </c>
    </row>
    <row r="26" spans="1:9" x14ac:dyDescent="0.3">
      <c r="A26" s="8" t="s">
        <v>41</v>
      </c>
      <c r="B26" s="1" t="s">
        <v>320</v>
      </c>
      <c r="C26" s="1" t="s">
        <v>12</v>
      </c>
      <c r="D26" s="1" t="s">
        <v>24</v>
      </c>
      <c r="E26" s="1" t="s">
        <v>324</v>
      </c>
      <c r="F26" s="1">
        <v>82.41</v>
      </c>
      <c r="G26" s="1"/>
      <c r="H26" s="2">
        <f t="shared" si="0"/>
        <v>-82.41</v>
      </c>
      <c r="I26" s="16" t="str">
        <f>TEXT(Table3[[#This Row],[Date]],"mmm")</f>
        <v>Jan</v>
      </c>
    </row>
    <row r="27" spans="1:9" x14ac:dyDescent="0.3">
      <c r="A27" s="8" t="s">
        <v>41</v>
      </c>
      <c r="B27" s="1" t="s">
        <v>320</v>
      </c>
      <c r="C27" s="1" t="s">
        <v>11</v>
      </c>
      <c r="D27" s="1" t="s">
        <v>20</v>
      </c>
      <c r="E27" s="1" t="s">
        <v>324</v>
      </c>
      <c r="F27" s="1">
        <v>166.43</v>
      </c>
      <c r="G27" s="1"/>
      <c r="H27" s="2">
        <f t="shared" si="0"/>
        <v>-166.43</v>
      </c>
      <c r="I27" s="16" t="str">
        <f>TEXT(Table3[[#This Row],[Date]],"mmm")</f>
        <v>Jan</v>
      </c>
    </row>
    <row r="28" spans="1:9" x14ac:dyDescent="0.3">
      <c r="A28" s="8" t="s">
        <v>41</v>
      </c>
      <c r="B28" s="1" t="s">
        <v>320</v>
      </c>
      <c r="C28" s="1" t="s">
        <v>7</v>
      </c>
      <c r="D28" s="1" t="s">
        <v>23</v>
      </c>
      <c r="E28" s="1" t="s">
        <v>324</v>
      </c>
      <c r="F28" s="1">
        <v>169.86</v>
      </c>
      <c r="G28" s="1"/>
      <c r="H28" s="2">
        <f t="shared" si="0"/>
        <v>-169.86</v>
      </c>
      <c r="I28" s="16" t="str">
        <f>TEXT(Table3[[#This Row],[Date]],"mmm")</f>
        <v>Jan</v>
      </c>
    </row>
    <row r="29" spans="1:9" x14ac:dyDescent="0.3">
      <c r="A29" s="8" t="s">
        <v>41</v>
      </c>
      <c r="B29" s="1" t="s">
        <v>321</v>
      </c>
      <c r="C29" s="1" t="s">
        <v>7</v>
      </c>
      <c r="D29" s="1" t="s">
        <v>15</v>
      </c>
      <c r="E29" s="1" t="s">
        <v>324</v>
      </c>
      <c r="F29" s="1">
        <v>132.44</v>
      </c>
      <c r="G29" s="1"/>
      <c r="H29" s="2">
        <f t="shared" si="0"/>
        <v>-132.44</v>
      </c>
      <c r="I29" s="16" t="str">
        <f>TEXT(Table3[[#This Row],[Date]],"mmm")</f>
        <v>Jan</v>
      </c>
    </row>
    <row r="30" spans="1:9" x14ac:dyDescent="0.3">
      <c r="A30" s="8" t="s">
        <v>41</v>
      </c>
      <c r="B30" s="1" t="s">
        <v>320</v>
      </c>
      <c r="C30" s="1" t="s">
        <v>7</v>
      </c>
      <c r="D30" s="1" t="s">
        <v>23</v>
      </c>
      <c r="E30" s="1" t="s">
        <v>324</v>
      </c>
      <c r="F30" s="1">
        <v>71.08</v>
      </c>
      <c r="G30" s="1"/>
      <c r="H30" s="2">
        <f t="shared" si="0"/>
        <v>-71.08</v>
      </c>
      <c r="I30" s="16" t="str">
        <f>TEXT(Table3[[#This Row],[Date]],"mmm")</f>
        <v>Jan</v>
      </c>
    </row>
    <row r="31" spans="1:9" x14ac:dyDescent="0.3">
      <c r="A31" s="8" t="s">
        <v>42</v>
      </c>
      <c r="B31" s="1" t="s">
        <v>320</v>
      </c>
      <c r="C31" s="1" t="s">
        <v>10</v>
      </c>
      <c r="D31" s="1" t="s">
        <v>22</v>
      </c>
      <c r="E31" s="1" t="s">
        <v>324</v>
      </c>
      <c r="F31" s="1">
        <v>29.04</v>
      </c>
      <c r="G31" s="1"/>
      <c r="H31" s="2">
        <f t="shared" si="0"/>
        <v>-29.04</v>
      </c>
      <c r="I31" s="16" t="str">
        <f>TEXT(Table3[[#This Row],[Date]],"mmm")</f>
        <v>Jan</v>
      </c>
    </row>
    <row r="32" spans="1:9" x14ac:dyDescent="0.3">
      <c r="A32" s="8" t="s">
        <v>43</v>
      </c>
      <c r="B32" s="1" t="s">
        <v>322</v>
      </c>
      <c r="C32" s="1" t="s">
        <v>12</v>
      </c>
      <c r="D32" s="1" t="s">
        <v>24</v>
      </c>
      <c r="E32" s="1" t="s">
        <v>324</v>
      </c>
      <c r="F32" s="1">
        <v>43.54</v>
      </c>
      <c r="G32" s="1"/>
      <c r="H32" s="2">
        <f t="shared" si="0"/>
        <v>-43.54</v>
      </c>
      <c r="I32" s="16" t="str">
        <f>TEXT(Table3[[#This Row],[Date]],"mmm")</f>
        <v>Jan</v>
      </c>
    </row>
    <row r="33" spans="1:9" x14ac:dyDescent="0.3">
      <c r="A33" s="8" t="s">
        <v>43</v>
      </c>
      <c r="B33" s="1" t="s">
        <v>321</v>
      </c>
      <c r="C33" s="1" t="s">
        <v>12</v>
      </c>
      <c r="D33" s="1" t="s">
        <v>24</v>
      </c>
      <c r="E33" s="1" t="s">
        <v>324</v>
      </c>
      <c r="F33" s="1">
        <v>177.08</v>
      </c>
      <c r="G33" s="1"/>
      <c r="H33" s="2">
        <f t="shared" si="0"/>
        <v>-177.08</v>
      </c>
      <c r="I33" s="16" t="str">
        <f>TEXT(Table3[[#This Row],[Date]],"mmm")</f>
        <v>Jan</v>
      </c>
    </row>
    <row r="34" spans="1:9" x14ac:dyDescent="0.3">
      <c r="A34" s="8" t="s">
        <v>44</v>
      </c>
      <c r="B34" s="1" t="s">
        <v>321</v>
      </c>
      <c r="C34" s="1" t="s">
        <v>9</v>
      </c>
      <c r="D34" s="1" t="s">
        <v>17</v>
      </c>
      <c r="E34" s="1" t="s">
        <v>324</v>
      </c>
      <c r="F34" s="1">
        <v>230.58</v>
      </c>
      <c r="G34" s="1"/>
      <c r="H34" s="2">
        <f t="shared" si="0"/>
        <v>-230.58</v>
      </c>
      <c r="I34" s="16" t="str">
        <f>TEXT(Table3[[#This Row],[Date]],"mmm")</f>
        <v>Jan</v>
      </c>
    </row>
    <row r="35" spans="1:9" x14ac:dyDescent="0.3">
      <c r="A35" s="8" t="s">
        <v>44</v>
      </c>
      <c r="B35" s="1" t="s">
        <v>320</v>
      </c>
      <c r="C35" s="1" t="s">
        <v>9</v>
      </c>
      <c r="D35" s="1" t="s">
        <v>17</v>
      </c>
      <c r="E35" s="1" t="s">
        <v>324</v>
      </c>
      <c r="F35" s="1">
        <v>107.75</v>
      </c>
      <c r="G35" s="1"/>
      <c r="H35" s="2">
        <f t="shared" si="0"/>
        <v>-107.75</v>
      </c>
      <c r="I35" s="16" t="str">
        <f>TEXT(Table3[[#This Row],[Date]],"mmm")</f>
        <v>Jan</v>
      </c>
    </row>
    <row r="36" spans="1:9" x14ac:dyDescent="0.3">
      <c r="A36" s="8" t="s">
        <v>45</v>
      </c>
      <c r="B36" s="1" t="s">
        <v>320</v>
      </c>
      <c r="C36" s="1" t="s">
        <v>8</v>
      </c>
      <c r="D36" s="1" t="s">
        <v>28</v>
      </c>
      <c r="E36" s="1" t="s">
        <v>324</v>
      </c>
      <c r="F36" s="1">
        <v>228.46</v>
      </c>
      <c r="G36" s="1"/>
      <c r="H36" s="2">
        <f t="shared" si="0"/>
        <v>-228.46</v>
      </c>
      <c r="I36" s="16" t="str">
        <f>TEXT(Table3[[#This Row],[Date]],"mmm")</f>
        <v>Jan</v>
      </c>
    </row>
    <row r="37" spans="1:9" x14ac:dyDescent="0.3">
      <c r="A37" s="8" t="s">
        <v>46</v>
      </c>
      <c r="B37" s="1" t="s">
        <v>321</v>
      </c>
      <c r="C37" s="1" t="s">
        <v>6</v>
      </c>
      <c r="D37" s="1" t="s">
        <v>18</v>
      </c>
      <c r="E37" s="1" t="s">
        <v>324</v>
      </c>
      <c r="F37" s="1">
        <v>102.41</v>
      </c>
      <c r="G37" s="1"/>
      <c r="H37" s="2">
        <f t="shared" si="0"/>
        <v>-102.41</v>
      </c>
      <c r="I37" s="16" t="str">
        <f>TEXT(Table3[[#This Row],[Date]],"mmm")</f>
        <v>Jan</v>
      </c>
    </row>
    <row r="38" spans="1:9" x14ac:dyDescent="0.3">
      <c r="A38" s="8" t="s">
        <v>46</v>
      </c>
      <c r="B38" s="1" t="s">
        <v>322</v>
      </c>
      <c r="C38" s="1" t="s">
        <v>12</v>
      </c>
      <c r="D38" s="1" t="s">
        <v>24</v>
      </c>
      <c r="E38" s="1" t="s">
        <v>324</v>
      </c>
      <c r="F38" s="1">
        <v>69.3</v>
      </c>
      <c r="G38" s="1"/>
      <c r="H38" s="2">
        <f t="shared" si="0"/>
        <v>-69.3</v>
      </c>
      <c r="I38" s="16" t="str">
        <f>TEXT(Table3[[#This Row],[Date]],"mmm")</f>
        <v>Jan</v>
      </c>
    </row>
    <row r="39" spans="1:9" x14ac:dyDescent="0.3">
      <c r="A39" s="8" t="s">
        <v>46</v>
      </c>
      <c r="B39" s="1" t="s">
        <v>320</v>
      </c>
      <c r="C39" s="1" t="s">
        <v>11</v>
      </c>
      <c r="D39" s="1" t="s">
        <v>25</v>
      </c>
      <c r="E39" s="1" t="s">
        <v>324</v>
      </c>
      <c r="F39" s="1">
        <v>175.91</v>
      </c>
      <c r="G39" s="1"/>
      <c r="H39" s="2">
        <f t="shared" si="0"/>
        <v>-175.91</v>
      </c>
      <c r="I39" s="16" t="str">
        <f>TEXT(Table3[[#This Row],[Date]],"mmm")</f>
        <v>Jan</v>
      </c>
    </row>
    <row r="40" spans="1:9" x14ac:dyDescent="0.3">
      <c r="A40" s="8" t="s">
        <v>47</v>
      </c>
      <c r="B40" s="1" t="s">
        <v>321</v>
      </c>
      <c r="C40" s="1" t="s">
        <v>10</v>
      </c>
      <c r="D40" s="1" t="s">
        <v>22</v>
      </c>
      <c r="E40" s="1" t="s">
        <v>324</v>
      </c>
      <c r="F40" s="1">
        <v>166.49</v>
      </c>
      <c r="G40" s="1"/>
      <c r="H40" s="2">
        <f t="shared" si="0"/>
        <v>-166.49</v>
      </c>
      <c r="I40" s="16" t="str">
        <f>TEXT(Table3[[#This Row],[Date]],"mmm")</f>
        <v>Jan</v>
      </c>
    </row>
    <row r="41" spans="1:9" x14ac:dyDescent="0.3">
      <c r="A41" s="8" t="s">
        <v>47</v>
      </c>
      <c r="B41" s="1" t="s">
        <v>321</v>
      </c>
      <c r="C41" s="1" t="s">
        <v>12</v>
      </c>
      <c r="D41" s="1" t="s">
        <v>29</v>
      </c>
      <c r="E41" s="1" t="s">
        <v>324</v>
      </c>
      <c r="F41" s="1">
        <v>6.38</v>
      </c>
      <c r="G41" s="1"/>
      <c r="H41" s="2">
        <f t="shared" si="0"/>
        <v>-6.38</v>
      </c>
      <c r="I41" s="16" t="str">
        <f>TEXT(Table3[[#This Row],[Date]],"mmm")</f>
        <v>Jan</v>
      </c>
    </row>
    <row r="42" spans="1:9" x14ac:dyDescent="0.3">
      <c r="A42" s="8" t="s">
        <v>48</v>
      </c>
      <c r="B42" s="1" t="s">
        <v>320</v>
      </c>
      <c r="C42" s="1" t="s">
        <v>8</v>
      </c>
      <c r="D42" s="1" t="s">
        <v>26</v>
      </c>
      <c r="E42" s="1" t="s">
        <v>324</v>
      </c>
      <c r="F42" s="1">
        <v>207.57</v>
      </c>
      <c r="G42" s="1"/>
      <c r="H42" s="2">
        <f t="shared" si="0"/>
        <v>-207.57</v>
      </c>
      <c r="I42" s="16" t="str">
        <f>TEXT(Table3[[#This Row],[Date]],"mmm")</f>
        <v>Jan</v>
      </c>
    </row>
    <row r="43" spans="1:9" x14ac:dyDescent="0.3">
      <c r="A43" s="8" t="s">
        <v>48</v>
      </c>
      <c r="B43" s="1" t="s">
        <v>321</v>
      </c>
      <c r="C43" s="1" t="s">
        <v>8</v>
      </c>
      <c r="D43" s="1" t="s">
        <v>16</v>
      </c>
      <c r="E43" s="1" t="s">
        <v>324</v>
      </c>
      <c r="F43" s="1">
        <v>168.11</v>
      </c>
      <c r="G43" s="1"/>
      <c r="H43" s="2">
        <f t="shared" si="0"/>
        <v>-168.11</v>
      </c>
      <c r="I43" s="16" t="str">
        <f>TEXT(Table3[[#This Row],[Date]],"mmm")</f>
        <v>Jan</v>
      </c>
    </row>
    <row r="44" spans="1:9" x14ac:dyDescent="0.3">
      <c r="A44" s="8" t="s">
        <v>49</v>
      </c>
      <c r="B44" s="1" t="s">
        <v>320</v>
      </c>
      <c r="C44" s="1" t="s">
        <v>10</v>
      </c>
      <c r="D44" s="1" t="s">
        <v>22</v>
      </c>
      <c r="E44" s="1" t="s">
        <v>324</v>
      </c>
      <c r="F44" s="1">
        <v>107.78</v>
      </c>
      <c r="G44" s="1"/>
      <c r="H44" s="2">
        <f t="shared" si="0"/>
        <v>-107.78</v>
      </c>
      <c r="I44" s="16" t="str">
        <f>TEXT(Table3[[#This Row],[Date]],"mmm")</f>
        <v>Jan</v>
      </c>
    </row>
    <row r="45" spans="1:9" x14ac:dyDescent="0.3">
      <c r="A45" s="8" t="s">
        <v>49</v>
      </c>
      <c r="B45" s="1" t="s">
        <v>321</v>
      </c>
      <c r="C45" s="1" t="s">
        <v>8</v>
      </c>
      <c r="D45" s="1" t="s">
        <v>26</v>
      </c>
      <c r="E45" s="1" t="s">
        <v>324</v>
      </c>
      <c r="F45" s="1">
        <v>195.8</v>
      </c>
      <c r="G45" s="1"/>
      <c r="H45" s="2">
        <f t="shared" si="0"/>
        <v>-195.8</v>
      </c>
      <c r="I45" s="16" t="str">
        <f>TEXT(Table3[[#This Row],[Date]],"mmm")</f>
        <v>Jan</v>
      </c>
    </row>
    <row r="46" spans="1:9" x14ac:dyDescent="0.3">
      <c r="A46" s="8" t="s">
        <v>50</v>
      </c>
      <c r="B46" s="1" t="s">
        <v>321</v>
      </c>
      <c r="C46" s="1" t="s">
        <v>12</v>
      </c>
      <c r="D46" s="1" t="s">
        <v>24</v>
      </c>
      <c r="E46" s="1" t="s">
        <v>324</v>
      </c>
      <c r="F46" s="1">
        <v>150.22</v>
      </c>
      <c r="G46" s="1"/>
      <c r="H46" s="2">
        <f t="shared" si="0"/>
        <v>-150.22</v>
      </c>
      <c r="I46" s="16" t="str">
        <f>TEXT(Table3[[#This Row],[Date]],"mmm")</f>
        <v>Jan</v>
      </c>
    </row>
    <row r="47" spans="1:9" x14ac:dyDescent="0.3">
      <c r="A47" s="8" t="s">
        <v>50</v>
      </c>
      <c r="B47" s="1" t="s">
        <v>320</v>
      </c>
      <c r="C47" s="1" t="s">
        <v>9</v>
      </c>
      <c r="D47" s="1" t="s">
        <v>21</v>
      </c>
      <c r="E47" s="1" t="s">
        <v>324</v>
      </c>
      <c r="F47" s="1">
        <v>211.8</v>
      </c>
      <c r="G47" s="1"/>
      <c r="H47" s="2">
        <f t="shared" si="0"/>
        <v>-211.8</v>
      </c>
      <c r="I47" s="16" t="str">
        <f>TEXT(Table3[[#This Row],[Date]],"mmm")</f>
        <v>Jan</v>
      </c>
    </row>
    <row r="48" spans="1:9" x14ac:dyDescent="0.3">
      <c r="A48" s="8" t="s">
        <v>51</v>
      </c>
      <c r="B48" s="1" t="s">
        <v>320</v>
      </c>
      <c r="C48" s="1" t="s">
        <v>9</v>
      </c>
      <c r="D48" s="1" t="s">
        <v>21</v>
      </c>
      <c r="E48" s="1" t="s">
        <v>324</v>
      </c>
      <c r="F48" s="1">
        <v>201.55</v>
      </c>
      <c r="G48" s="1"/>
      <c r="H48" s="2">
        <f t="shared" si="0"/>
        <v>-201.55</v>
      </c>
      <c r="I48" s="16" t="str">
        <f>TEXT(Table3[[#This Row],[Date]],"mmm")</f>
        <v>Jan</v>
      </c>
    </row>
    <row r="49" spans="1:9" x14ac:dyDescent="0.3">
      <c r="A49" s="8" t="s">
        <v>52</v>
      </c>
      <c r="B49" s="1" t="s">
        <v>321</v>
      </c>
      <c r="C49" s="1" t="s">
        <v>10</v>
      </c>
      <c r="D49" s="1" t="s">
        <v>19</v>
      </c>
      <c r="E49" s="1" t="s">
        <v>324</v>
      </c>
      <c r="F49" s="1">
        <v>50.07</v>
      </c>
      <c r="G49" s="1"/>
      <c r="H49" s="2">
        <f t="shared" si="0"/>
        <v>-50.07</v>
      </c>
      <c r="I49" s="16" t="str">
        <f>TEXT(Table3[[#This Row],[Date]],"mmm")</f>
        <v>Jan</v>
      </c>
    </row>
    <row r="50" spans="1:9" x14ac:dyDescent="0.3">
      <c r="A50" s="8" t="s">
        <v>53</v>
      </c>
      <c r="B50" s="1" t="s">
        <v>320</v>
      </c>
      <c r="C50" s="1" t="s">
        <v>8</v>
      </c>
      <c r="D50" s="1" t="s">
        <v>26</v>
      </c>
      <c r="E50" s="1" t="s">
        <v>324</v>
      </c>
      <c r="F50" s="1">
        <v>112.53</v>
      </c>
      <c r="G50" s="1"/>
      <c r="H50" s="2">
        <f t="shared" si="0"/>
        <v>-112.53</v>
      </c>
      <c r="I50" s="16" t="str">
        <f>TEXT(Table3[[#This Row],[Date]],"mmm")</f>
        <v>Jan</v>
      </c>
    </row>
    <row r="51" spans="1:9" x14ac:dyDescent="0.3">
      <c r="A51" s="8" t="s">
        <v>53</v>
      </c>
      <c r="B51" s="1" t="s">
        <v>321</v>
      </c>
      <c r="C51" s="1" t="s">
        <v>11</v>
      </c>
      <c r="D51" s="1" t="s">
        <v>27</v>
      </c>
      <c r="E51" s="1" t="s">
        <v>324</v>
      </c>
      <c r="F51" s="1">
        <v>134.13</v>
      </c>
      <c r="G51" s="1"/>
      <c r="H51" s="2">
        <f t="shared" si="0"/>
        <v>-134.13</v>
      </c>
      <c r="I51" s="16" t="str">
        <f>TEXT(Table3[[#This Row],[Date]],"mmm")</f>
        <v>Jan</v>
      </c>
    </row>
    <row r="52" spans="1:9" x14ac:dyDescent="0.3">
      <c r="A52" s="8" t="s">
        <v>53</v>
      </c>
      <c r="B52" s="1" t="s">
        <v>320</v>
      </c>
      <c r="C52" s="1" t="s">
        <v>13</v>
      </c>
      <c r="D52" s="1" t="s">
        <v>30</v>
      </c>
      <c r="E52" s="1" t="s">
        <v>13</v>
      </c>
      <c r="F52" s="1"/>
      <c r="G52" s="1">
        <v>7461</v>
      </c>
      <c r="H52" s="2">
        <v>7461</v>
      </c>
      <c r="I52" s="16" t="str">
        <f>TEXT(Table3[[#This Row],[Date]],"mmm")</f>
        <v>Jan</v>
      </c>
    </row>
    <row r="53" spans="1:9" x14ac:dyDescent="0.3">
      <c r="A53" s="8" t="s">
        <v>54</v>
      </c>
      <c r="B53" s="1" t="s">
        <v>321</v>
      </c>
      <c r="C53" s="1" t="s">
        <v>12</v>
      </c>
      <c r="D53" s="1" t="s">
        <v>24</v>
      </c>
      <c r="E53" s="1" t="s">
        <v>324</v>
      </c>
      <c r="F53" s="1">
        <v>29.01</v>
      </c>
      <c r="G53" s="1"/>
      <c r="H53" s="2">
        <f t="shared" si="0"/>
        <v>-29.01</v>
      </c>
      <c r="I53" s="16" t="str">
        <f>TEXT(Table3[[#This Row],[Date]],"mmm")</f>
        <v>Feb</v>
      </c>
    </row>
    <row r="54" spans="1:9" x14ac:dyDescent="0.3">
      <c r="A54" s="8" t="s">
        <v>54</v>
      </c>
      <c r="B54" s="1" t="s">
        <v>320</v>
      </c>
      <c r="C54" s="1" t="s">
        <v>12</v>
      </c>
      <c r="D54" s="1" t="s">
        <v>29</v>
      </c>
      <c r="E54" s="1" t="s">
        <v>324</v>
      </c>
      <c r="F54" s="1">
        <v>226.23</v>
      </c>
      <c r="G54" s="1"/>
      <c r="H54" s="2">
        <f t="shared" si="0"/>
        <v>-226.23</v>
      </c>
      <c r="I54" s="16" t="str">
        <f>TEXT(Table3[[#This Row],[Date]],"mmm")</f>
        <v>Feb</v>
      </c>
    </row>
    <row r="55" spans="1:9" x14ac:dyDescent="0.3">
      <c r="A55" s="8" t="s">
        <v>55</v>
      </c>
      <c r="B55" s="1" t="s">
        <v>320</v>
      </c>
      <c r="C55" s="1" t="s">
        <v>10</v>
      </c>
      <c r="D55" s="1" t="s">
        <v>22</v>
      </c>
      <c r="E55" s="1" t="s">
        <v>324</v>
      </c>
      <c r="F55" s="1">
        <v>122.96</v>
      </c>
      <c r="G55" s="1"/>
      <c r="H55" s="2">
        <f t="shared" si="0"/>
        <v>-122.96</v>
      </c>
      <c r="I55" s="16" t="str">
        <f>TEXT(Table3[[#This Row],[Date]],"mmm")</f>
        <v>Feb</v>
      </c>
    </row>
    <row r="56" spans="1:9" x14ac:dyDescent="0.3">
      <c r="A56" s="8" t="s">
        <v>55</v>
      </c>
      <c r="B56" s="1" t="s">
        <v>320</v>
      </c>
      <c r="C56" s="1" t="s">
        <v>11</v>
      </c>
      <c r="D56" s="1" t="s">
        <v>27</v>
      </c>
      <c r="E56" s="1" t="s">
        <v>324</v>
      </c>
      <c r="F56" s="1">
        <v>234.43</v>
      </c>
      <c r="G56" s="1"/>
      <c r="H56" s="2">
        <f t="shared" si="0"/>
        <v>-234.43</v>
      </c>
      <c r="I56" s="16" t="str">
        <f>TEXT(Table3[[#This Row],[Date]],"mmm")</f>
        <v>Feb</v>
      </c>
    </row>
    <row r="57" spans="1:9" x14ac:dyDescent="0.3">
      <c r="A57" s="8" t="s">
        <v>55</v>
      </c>
      <c r="B57" s="1" t="s">
        <v>320</v>
      </c>
      <c r="C57" s="1" t="s">
        <v>10</v>
      </c>
      <c r="D57" s="1" t="s">
        <v>19</v>
      </c>
      <c r="E57" s="1" t="s">
        <v>324</v>
      </c>
      <c r="F57" s="1">
        <v>235.93</v>
      </c>
      <c r="G57" s="1"/>
      <c r="H57" s="2">
        <f t="shared" si="0"/>
        <v>-235.93</v>
      </c>
      <c r="I57" s="16" t="str">
        <f>TEXT(Table3[[#This Row],[Date]],"mmm")</f>
        <v>Feb</v>
      </c>
    </row>
    <row r="58" spans="1:9" x14ac:dyDescent="0.3">
      <c r="A58" s="8" t="s">
        <v>55</v>
      </c>
      <c r="B58" s="1" t="s">
        <v>321</v>
      </c>
      <c r="C58" s="1" t="s">
        <v>10</v>
      </c>
      <c r="D58" s="1" t="s">
        <v>22</v>
      </c>
      <c r="E58" s="1" t="s">
        <v>324</v>
      </c>
      <c r="F58" s="1">
        <v>75.650000000000006</v>
      </c>
      <c r="G58" s="1"/>
      <c r="H58" s="2">
        <f t="shared" si="0"/>
        <v>-75.650000000000006</v>
      </c>
      <c r="I58" s="16" t="str">
        <f>TEXT(Table3[[#This Row],[Date]],"mmm")</f>
        <v>Feb</v>
      </c>
    </row>
    <row r="59" spans="1:9" x14ac:dyDescent="0.3">
      <c r="A59" s="8" t="s">
        <v>56</v>
      </c>
      <c r="B59" s="1" t="s">
        <v>321</v>
      </c>
      <c r="C59" s="1" t="s">
        <v>11</v>
      </c>
      <c r="D59" s="1" t="s">
        <v>25</v>
      </c>
      <c r="E59" s="1" t="s">
        <v>324</v>
      </c>
      <c r="F59" s="1">
        <v>133.38</v>
      </c>
      <c r="G59" s="1"/>
      <c r="H59" s="2">
        <f t="shared" si="0"/>
        <v>-133.38</v>
      </c>
      <c r="I59" s="16" t="str">
        <f>TEXT(Table3[[#This Row],[Date]],"mmm")</f>
        <v>Feb</v>
      </c>
    </row>
    <row r="60" spans="1:9" x14ac:dyDescent="0.3">
      <c r="A60" s="8" t="s">
        <v>56</v>
      </c>
      <c r="B60" s="1" t="s">
        <v>320</v>
      </c>
      <c r="C60" s="1" t="s">
        <v>7</v>
      </c>
      <c r="D60" s="1" t="s">
        <v>23</v>
      </c>
      <c r="E60" s="1" t="s">
        <v>324</v>
      </c>
      <c r="F60" s="1">
        <v>97.35</v>
      </c>
      <c r="G60" s="1"/>
      <c r="H60" s="2">
        <f t="shared" si="0"/>
        <v>-97.35</v>
      </c>
      <c r="I60" s="16" t="str">
        <f>TEXT(Table3[[#This Row],[Date]],"mmm")</f>
        <v>Feb</v>
      </c>
    </row>
    <row r="61" spans="1:9" x14ac:dyDescent="0.3">
      <c r="A61" s="8" t="s">
        <v>56</v>
      </c>
      <c r="B61" s="1" t="s">
        <v>320</v>
      </c>
      <c r="C61" s="1" t="s">
        <v>8</v>
      </c>
      <c r="D61" s="1" t="s">
        <v>28</v>
      </c>
      <c r="E61" s="1" t="s">
        <v>324</v>
      </c>
      <c r="F61" s="1">
        <v>184.01</v>
      </c>
      <c r="G61" s="1"/>
      <c r="H61" s="2">
        <f t="shared" si="0"/>
        <v>-184.01</v>
      </c>
      <c r="I61" s="16" t="str">
        <f>TEXT(Table3[[#This Row],[Date]],"mmm")</f>
        <v>Feb</v>
      </c>
    </row>
    <row r="62" spans="1:9" x14ac:dyDescent="0.3">
      <c r="A62" s="8" t="s">
        <v>56</v>
      </c>
      <c r="B62" s="1" t="s">
        <v>320</v>
      </c>
      <c r="C62" s="1" t="s">
        <v>10</v>
      </c>
      <c r="D62" s="1" t="s">
        <v>19</v>
      </c>
      <c r="E62" s="1" t="s">
        <v>324</v>
      </c>
      <c r="F62" s="1">
        <v>222.15</v>
      </c>
      <c r="G62" s="1"/>
      <c r="H62" s="2">
        <f t="shared" si="0"/>
        <v>-222.15</v>
      </c>
      <c r="I62" s="16" t="str">
        <f>TEXT(Table3[[#This Row],[Date]],"mmm")</f>
        <v>Feb</v>
      </c>
    </row>
    <row r="63" spans="1:9" x14ac:dyDescent="0.3">
      <c r="A63" s="8" t="s">
        <v>57</v>
      </c>
      <c r="B63" s="1" t="s">
        <v>321</v>
      </c>
      <c r="C63" s="1" t="s">
        <v>11</v>
      </c>
      <c r="D63" s="1" t="s">
        <v>20</v>
      </c>
      <c r="E63" s="1" t="s">
        <v>324</v>
      </c>
      <c r="F63" s="1">
        <v>214.46</v>
      </c>
      <c r="G63" s="1"/>
      <c r="H63" s="2">
        <f t="shared" si="0"/>
        <v>-214.46</v>
      </c>
      <c r="I63" s="16" t="str">
        <f>TEXT(Table3[[#This Row],[Date]],"mmm")</f>
        <v>Feb</v>
      </c>
    </row>
    <row r="64" spans="1:9" x14ac:dyDescent="0.3">
      <c r="A64" s="8" t="s">
        <v>57</v>
      </c>
      <c r="B64" s="1" t="s">
        <v>321</v>
      </c>
      <c r="C64" s="1" t="s">
        <v>11</v>
      </c>
      <c r="D64" s="1" t="s">
        <v>27</v>
      </c>
      <c r="E64" s="1" t="s">
        <v>324</v>
      </c>
      <c r="F64" s="1">
        <v>121.01</v>
      </c>
      <c r="G64" s="1"/>
      <c r="H64" s="2">
        <f t="shared" si="0"/>
        <v>-121.01</v>
      </c>
      <c r="I64" s="16" t="str">
        <f>TEXT(Table3[[#This Row],[Date]],"mmm")</f>
        <v>Feb</v>
      </c>
    </row>
    <row r="65" spans="1:9" x14ac:dyDescent="0.3">
      <c r="A65" s="8" t="s">
        <v>58</v>
      </c>
      <c r="B65" s="1" t="s">
        <v>320</v>
      </c>
      <c r="C65" s="1" t="s">
        <v>8</v>
      </c>
      <c r="D65" s="1" t="s">
        <v>26</v>
      </c>
      <c r="E65" s="1" t="s">
        <v>324</v>
      </c>
      <c r="F65" s="1">
        <v>95.89</v>
      </c>
      <c r="G65" s="1"/>
      <c r="H65" s="2">
        <f t="shared" si="0"/>
        <v>-95.89</v>
      </c>
      <c r="I65" s="16" t="str">
        <f>TEXT(Table3[[#This Row],[Date]],"mmm")</f>
        <v>Feb</v>
      </c>
    </row>
    <row r="66" spans="1:9" x14ac:dyDescent="0.3">
      <c r="A66" s="8" t="s">
        <v>59</v>
      </c>
      <c r="B66" s="1" t="s">
        <v>320</v>
      </c>
      <c r="C66" s="1" t="s">
        <v>11</v>
      </c>
      <c r="D66" s="1" t="s">
        <v>25</v>
      </c>
      <c r="E66" s="1" t="s">
        <v>324</v>
      </c>
      <c r="F66" s="1">
        <v>31.65</v>
      </c>
      <c r="G66" s="1"/>
      <c r="H66" s="2">
        <f t="shared" si="0"/>
        <v>-31.65</v>
      </c>
      <c r="I66" s="16" t="str">
        <f>TEXT(Table3[[#This Row],[Date]],"mmm")</f>
        <v>Feb</v>
      </c>
    </row>
    <row r="67" spans="1:9" x14ac:dyDescent="0.3">
      <c r="A67" s="8" t="s">
        <v>59</v>
      </c>
      <c r="B67" s="1" t="s">
        <v>321</v>
      </c>
      <c r="C67" s="1" t="s">
        <v>11</v>
      </c>
      <c r="D67" s="1" t="s">
        <v>27</v>
      </c>
      <c r="E67" s="1" t="s">
        <v>324</v>
      </c>
      <c r="F67" s="1">
        <v>217.27</v>
      </c>
      <c r="G67" s="1"/>
      <c r="H67" s="2">
        <f t="shared" ref="H67:H130" si="1">F67*-1</f>
        <v>-217.27</v>
      </c>
      <c r="I67" s="16" t="str">
        <f>TEXT(Table3[[#This Row],[Date]],"mmm")</f>
        <v>Feb</v>
      </c>
    </row>
    <row r="68" spans="1:9" x14ac:dyDescent="0.3">
      <c r="A68" s="8" t="s">
        <v>60</v>
      </c>
      <c r="B68" s="1" t="s">
        <v>320</v>
      </c>
      <c r="C68" s="1" t="s">
        <v>9</v>
      </c>
      <c r="D68" s="1" t="s">
        <v>21</v>
      </c>
      <c r="E68" s="1" t="s">
        <v>324</v>
      </c>
      <c r="F68" s="1">
        <v>135.94</v>
      </c>
      <c r="G68" s="1"/>
      <c r="H68" s="2">
        <f t="shared" si="1"/>
        <v>-135.94</v>
      </c>
      <c r="I68" s="16" t="str">
        <f>TEXT(Table3[[#This Row],[Date]],"mmm")</f>
        <v>Feb</v>
      </c>
    </row>
    <row r="69" spans="1:9" x14ac:dyDescent="0.3">
      <c r="A69" s="8" t="s">
        <v>60</v>
      </c>
      <c r="B69" s="1" t="s">
        <v>321</v>
      </c>
      <c r="C69" s="1" t="s">
        <v>6</v>
      </c>
      <c r="D69" s="1" t="s">
        <v>14</v>
      </c>
      <c r="E69" s="1" t="s">
        <v>324</v>
      </c>
      <c r="F69" s="1">
        <v>116.79</v>
      </c>
      <c r="G69" s="1"/>
      <c r="H69" s="2">
        <f t="shared" si="1"/>
        <v>-116.79</v>
      </c>
      <c r="I69" s="16" t="str">
        <f>TEXT(Table3[[#This Row],[Date]],"mmm")</f>
        <v>Feb</v>
      </c>
    </row>
    <row r="70" spans="1:9" x14ac:dyDescent="0.3">
      <c r="A70" s="8" t="s">
        <v>60</v>
      </c>
      <c r="B70" s="1" t="s">
        <v>321</v>
      </c>
      <c r="C70" s="1" t="s">
        <v>6</v>
      </c>
      <c r="D70" s="1" t="s">
        <v>18</v>
      </c>
      <c r="E70" s="1" t="s">
        <v>324</v>
      </c>
      <c r="F70" s="1">
        <v>156.11000000000001</v>
      </c>
      <c r="G70" s="1"/>
      <c r="H70" s="2">
        <f t="shared" si="1"/>
        <v>-156.11000000000001</v>
      </c>
      <c r="I70" s="16" t="str">
        <f>TEXT(Table3[[#This Row],[Date]],"mmm")</f>
        <v>Feb</v>
      </c>
    </row>
    <row r="71" spans="1:9" x14ac:dyDescent="0.3">
      <c r="A71" s="8" t="s">
        <v>61</v>
      </c>
      <c r="B71" s="1" t="s">
        <v>321</v>
      </c>
      <c r="C71" s="1" t="s">
        <v>7</v>
      </c>
      <c r="D71" s="1" t="s">
        <v>15</v>
      </c>
      <c r="E71" s="1" t="s">
        <v>324</v>
      </c>
      <c r="F71" s="1">
        <v>194.39</v>
      </c>
      <c r="G71" s="1"/>
      <c r="H71" s="2">
        <f t="shared" si="1"/>
        <v>-194.39</v>
      </c>
      <c r="I71" s="16" t="str">
        <f>TEXT(Table3[[#This Row],[Date]],"mmm")</f>
        <v>Feb</v>
      </c>
    </row>
    <row r="72" spans="1:9" x14ac:dyDescent="0.3">
      <c r="A72" s="8" t="s">
        <v>61</v>
      </c>
      <c r="B72" s="1" t="s">
        <v>320</v>
      </c>
      <c r="C72" s="1" t="s">
        <v>11</v>
      </c>
      <c r="D72" s="1" t="s">
        <v>27</v>
      </c>
      <c r="E72" s="1" t="s">
        <v>324</v>
      </c>
      <c r="F72" s="1">
        <v>23.78</v>
      </c>
      <c r="G72" s="1"/>
      <c r="H72" s="2">
        <f t="shared" si="1"/>
        <v>-23.78</v>
      </c>
      <c r="I72" s="16" t="str">
        <f>TEXT(Table3[[#This Row],[Date]],"mmm")</f>
        <v>Feb</v>
      </c>
    </row>
    <row r="73" spans="1:9" x14ac:dyDescent="0.3">
      <c r="A73" s="8" t="s">
        <v>62</v>
      </c>
      <c r="B73" s="1" t="s">
        <v>321</v>
      </c>
      <c r="C73" s="1" t="s">
        <v>8</v>
      </c>
      <c r="D73" s="1" t="s">
        <v>26</v>
      </c>
      <c r="E73" s="1" t="s">
        <v>324</v>
      </c>
      <c r="F73" s="1">
        <v>150.04</v>
      </c>
      <c r="G73" s="1"/>
      <c r="H73" s="2">
        <f t="shared" si="1"/>
        <v>-150.04</v>
      </c>
      <c r="I73" s="16" t="str">
        <f>TEXT(Table3[[#This Row],[Date]],"mmm")</f>
        <v>Feb</v>
      </c>
    </row>
    <row r="74" spans="1:9" x14ac:dyDescent="0.3">
      <c r="A74" s="8" t="s">
        <v>62</v>
      </c>
      <c r="B74" s="1" t="s">
        <v>321</v>
      </c>
      <c r="C74" s="1" t="s">
        <v>8</v>
      </c>
      <c r="D74" s="1" t="s">
        <v>16</v>
      </c>
      <c r="E74" s="1" t="s">
        <v>324</v>
      </c>
      <c r="F74" s="1">
        <v>159.02000000000001</v>
      </c>
      <c r="G74" s="1"/>
      <c r="H74" s="2">
        <f t="shared" si="1"/>
        <v>-159.02000000000001</v>
      </c>
      <c r="I74" s="16" t="str">
        <f>TEXT(Table3[[#This Row],[Date]],"mmm")</f>
        <v>Feb</v>
      </c>
    </row>
    <row r="75" spans="1:9" x14ac:dyDescent="0.3">
      <c r="A75" s="8" t="s">
        <v>62</v>
      </c>
      <c r="B75" s="1" t="s">
        <v>321</v>
      </c>
      <c r="C75" s="1" t="s">
        <v>11</v>
      </c>
      <c r="D75" s="1" t="s">
        <v>27</v>
      </c>
      <c r="E75" s="1" t="s">
        <v>324</v>
      </c>
      <c r="F75" s="1">
        <v>53.4</v>
      </c>
      <c r="G75" s="1"/>
      <c r="H75" s="2">
        <f t="shared" si="1"/>
        <v>-53.4</v>
      </c>
      <c r="I75" s="16" t="str">
        <f>TEXT(Table3[[#This Row],[Date]],"mmm")</f>
        <v>Feb</v>
      </c>
    </row>
    <row r="76" spans="1:9" x14ac:dyDescent="0.3">
      <c r="A76" s="8" t="s">
        <v>63</v>
      </c>
      <c r="B76" s="1" t="s">
        <v>321</v>
      </c>
      <c r="C76" s="1" t="s">
        <v>11</v>
      </c>
      <c r="D76" s="1" t="s">
        <v>27</v>
      </c>
      <c r="E76" s="1" t="s">
        <v>324</v>
      </c>
      <c r="F76" s="1">
        <v>128.57</v>
      </c>
      <c r="G76" s="1"/>
      <c r="H76" s="2">
        <f t="shared" si="1"/>
        <v>-128.57</v>
      </c>
      <c r="I76" s="16" t="str">
        <f>TEXT(Table3[[#This Row],[Date]],"mmm")</f>
        <v>Feb</v>
      </c>
    </row>
    <row r="77" spans="1:9" x14ac:dyDescent="0.3">
      <c r="A77" s="8" t="s">
        <v>64</v>
      </c>
      <c r="B77" s="1" t="s">
        <v>320</v>
      </c>
      <c r="C77" s="1" t="s">
        <v>9</v>
      </c>
      <c r="D77" s="1" t="s">
        <v>21</v>
      </c>
      <c r="E77" s="1" t="s">
        <v>324</v>
      </c>
      <c r="F77" s="1">
        <v>11.39</v>
      </c>
      <c r="G77" s="1"/>
      <c r="H77" s="2">
        <f t="shared" si="1"/>
        <v>-11.39</v>
      </c>
      <c r="I77" s="16" t="str">
        <f>TEXT(Table3[[#This Row],[Date]],"mmm")</f>
        <v>Feb</v>
      </c>
    </row>
    <row r="78" spans="1:9" x14ac:dyDescent="0.3">
      <c r="A78" s="8" t="s">
        <v>65</v>
      </c>
      <c r="B78" s="1" t="s">
        <v>320</v>
      </c>
      <c r="C78" s="1" t="s">
        <v>6</v>
      </c>
      <c r="D78" s="1" t="s">
        <v>18</v>
      </c>
      <c r="E78" s="1" t="s">
        <v>324</v>
      </c>
      <c r="F78" s="1">
        <v>151.35</v>
      </c>
      <c r="G78" s="1"/>
      <c r="H78" s="2">
        <f t="shared" si="1"/>
        <v>-151.35</v>
      </c>
      <c r="I78" s="16" t="str">
        <f>TEXT(Table3[[#This Row],[Date]],"mmm")</f>
        <v>Feb</v>
      </c>
    </row>
    <row r="79" spans="1:9" x14ac:dyDescent="0.3">
      <c r="A79" s="8" t="s">
        <v>66</v>
      </c>
      <c r="B79" s="1" t="s">
        <v>321</v>
      </c>
      <c r="C79" s="1" t="s">
        <v>9</v>
      </c>
      <c r="D79" s="1" t="s">
        <v>17</v>
      </c>
      <c r="E79" s="1" t="s">
        <v>324</v>
      </c>
      <c r="F79" s="1">
        <v>86.16</v>
      </c>
      <c r="G79" s="1"/>
      <c r="H79" s="2">
        <f t="shared" si="1"/>
        <v>-86.16</v>
      </c>
      <c r="I79" s="16" t="str">
        <f>TEXT(Table3[[#This Row],[Date]],"mmm")</f>
        <v>Feb</v>
      </c>
    </row>
    <row r="80" spans="1:9" x14ac:dyDescent="0.3">
      <c r="A80" s="8" t="s">
        <v>66</v>
      </c>
      <c r="B80" s="1" t="s">
        <v>321</v>
      </c>
      <c r="C80" s="1" t="s">
        <v>6</v>
      </c>
      <c r="D80" s="1" t="s">
        <v>14</v>
      </c>
      <c r="E80" s="1" t="s">
        <v>324</v>
      </c>
      <c r="F80" s="1">
        <v>199.67</v>
      </c>
      <c r="G80" s="1"/>
      <c r="H80" s="2">
        <f t="shared" si="1"/>
        <v>-199.67</v>
      </c>
      <c r="I80" s="16" t="str">
        <f>TEXT(Table3[[#This Row],[Date]],"mmm")</f>
        <v>Feb</v>
      </c>
    </row>
    <row r="81" spans="1:9" x14ac:dyDescent="0.3">
      <c r="A81" s="8" t="s">
        <v>67</v>
      </c>
      <c r="B81" s="1" t="s">
        <v>321</v>
      </c>
      <c r="C81" s="1" t="s">
        <v>10</v>
      </c>
      <c r="D81" s="1" t="s">
        <v>19</v>
      </c>
      <c r="E81" s="1" t="s">
        <v>324</v>
      </c>
      <c r="F81" s="1">
        <v>153.68</v>
      </c>
      <c r="G81" s="1"/>
      <c r="H81" s="2">
        <f t="shared" si="1"/>
        <v>-153.68</v>
      </c>
      <c r="I81" s="16" t="str">
        <f>TEXT(Table3[[#This Row],[Date]],"mmm")</f>
        <v>Feb</v>
      </c>
    </row>
    <row r="82" spans="1:9" x14ac:dyDescent="0.3">
      <c r="A82" s="8" t="s">
        <v>68</v>
      </c>
      <c r="B82" s="1" t="s">
        <v>320</v>
      </c>
      <c r="C82" s="1" t="s">
        <v>7</v>
      </c>
      <c r="D82" s="1" t="s">
        <v>23</v>
      </c>
      <c r="E82" s="1" t="s">
        <v>324</v>
      </c>
      <c r="F82" s="1">
        <v>18.73</v>
      </c>
      <c r="G82" s="1"/>
      <c r="H82" s="2">
        <f t="shared" si="1"/>
        <v>-18.73</v>
      </c>
      <c r="I82" s="16" t="str">
        <f>TEXT(Table3[[#This Row],[Date]],"mmm")</f>
        <v>Feb</v>
      </c>
    </row>
    <row r="83" spans="1:9" x14ac:dyDescent="0.3">
      <c r="A83" s="8" t="s">
        <v>68</v>
      </c>
      <c r="B83" s="1" t="s">
        <v>320</v>
      </c>
      <c r="C83" s="1" t="s">
        <v>9</v>
      </c>
      <c r="D83" s="1" t="s">
        <v>21</v>
      </c>
      <c r="E83" s="1" t="s">
        <v>324</v>
      </c>
      <c r="F83" s="1">
        <v>181.8</v>
      </c>
      <c r="G83" s="1"/>
      <c r="H83" s="2">
        <f t="shared" si="1"/>
        <v>-181.8</v>
      </c>
      <c r="I83" s="16" t="str">
        <f>TEXT(Table3[[#This Row],[Date]],"mmm")</f>
        <v>Feb</v>
      </c>
    </row>
    <row r="84" spans="1:9" x14ac:dyDescent="0.3">
      <c r="A84" s="8" t="s">
        <v>69</v>
      </c>
      <c r="B84" s="1" t="s">
        <v>321</v>
      </c>
      <c r="C84" s="1" t="s">
        <v>11</v>
      </c>
      <c r="D84" s="1" t="s">
        <v>25</v>
      </c>
      <c r="E84" s="1" t="s">
        <v>324</v>
      </c>
      <c r="F84" s="1">
        <v>160.38999999999999</v>
      </c>
      <c r="G84" s="1"/>
      <c r="H84" s="2">
        <f t="shared" si="1"/>
        <v>-160.38999999999999</v>
      </c>
      <c r="I84" s="16" t="str">
        <f>TEXT(Table3[[#This Row],[Date]],"mmm")</f>
        <v>Feb</v>
      </c>
    </row>
    <row r="85" spans="1:9" x14ac:dyDescent="0.3">
      <c r="A85" s="8" t="s">
        <v>70</v>
      </c>
      <c r="B85" s="1" t="s">
        <v>321</v>
      </c>
      <c r="C85" s="1" t="s">
        <v>6</v>
      </c>
      <c r="D85" s="1" t="s">
        <v>18</v>
      </c>
      <c r="E85" s="1" t="s">
        <v>324</v>
      </c>
      <c r="F85" s="1">
        <v>225.09</v>
      </c>
      <c r="G85" s="1"/>
      <c r="H85" s="2">
        <f t="shared" si="1"/>
        <v>-225.09</v>
      </c>
      <c r="I85" s="16" t="str">
        <f>TEXT(Table3[[#This Row],[Date]],"mmm")</f>
        <v>Feb</v>
      </c>
    </row>
    <row r="86" spans="1:9" x14ac:dyDescent="0.3">
      <c r="A86" s="8" t="s">
        <v>70</v>
      </c>
      <c r="B86" s="1" t="s">
        <v>321</v>
      </c>
      <c r="C86" s="1" t="s">
        <v>11</v>
      </c>
      <c r="D86" s="1" t="s">
        <v>25</v>
      </c>
      <c r="E86" s="1" t="s">
        <v>324</v>
      </c>
      <c r="F86" s="1">
        <v>107.59</v>
      </c>
      <c r="G86" s="1"/>
      <c r="H86" s="2">
        <f t="shared" si="1"/>
        <v>-107.59</v>
      </c>
      <c r="I86" s="16" t="str">
        <f>TEXT(Table3[[#This Row],[Date]],"mmm")</f>
        <v>Feb</v>
      </c>
    </row>
    <row r="87" spans="1:9" x14ac:dyDescent="0.3">
      <c r="A87" s="8" t="s">
        <v>70</v>
      </c>
      <c r="B87" s="1" t="s">
        <v>320</v>
      </c>
      <c r="C87" s="1" t="s">
        <v>11</v>
      </c>
      <c r="D87" s="1" t="s">
        <v>27</v>
      </c>
      <c r="E87" s="1" t="s">
        <v>324</v>
      </c>
      <c r="F87" s="1">
        <v>153.52000000000001</v>
      </c>
      <c r="G87" s="1"/>
      <c r="H87" s="2">
        <f t="shared" si="1"/>
        <v>-153.52000000000001</v>
      </c>
      <c r="I87" s="16" t="str">
        <f>TEXT(Table3[[#This Row],[Date]],"mmm")</f>
        <v>Feb</v>
      </c>
    </row>
    <row r="88" spans="1:9" x14ac:dyDescent="0.3">
      <c r="A88" s="8" t="s">
        <v>71</v>
      </c>
      <c r="B88" s="1" t="s">
        <v>321</v>
      </c>
      <c r="C88" s="1" t="s">
        <v>9</v>
      </c>
      <c r="D88" s="1" t="s">
        <v>17</v>
      </c>
      <c r="E88" s="1" t="s">
        <v>324</v>
      </c>
      <c r="F88" s="1">
        <v>73.97</v>
      </c>
      <c r="G88" s="1"/>
      <c r="H88" s="2">
        <f t="shared" si="1"/>
        <v>-73.97</v>
      </c>
      <c r="I88" s="16" t="str">
        <f>TEXT(Table3[[#This Row],[Date]],"mmm")</f>
        <v>Feb</v>
      </c>
    </row>
    <row r="89" spans="1:9" x14ac:dyDescent="0.3">
      <c r="A89" s="8" t="s">
        <v>72</v>
      </c>
      <c r="B89" s="1" t="s">
        <v>321</v>
      </c>
      <c r="C89" s="1" t="s">
        <v>9</v>
      </c>
      <c r="D89" s="1" t="s">
        <v>21</v>
      </c>
      <c r="E89" s="1" t="s">
        <v>324</v>
      </c>
      <c r="F89" s="1">
        <v>73.14</v>
      </c>
      <c r="G89" s="1"/>
      <c r="H89" s="2">
        <f t="shared" si="1"/>
        <v>-73.14</v>
      </c>
      <c r="I89" s="16" t="str">
        <f>TEXT(Table3[[#This Row],[Date]],"mmm")</f>
        <v>Feb</v>
      </c>
    </row>
    <row r="90" spans="1:9" x14ac:dyDescent="0.3">
      <c r="A90" s="8" t="s">
        <v>73</v>
      </c>
      <c r="B90" s="1" t="s">
        <v>320</v>
      </c>
      <c r="C90" s="1" t="s">
        <v>8</v>
      </c>
      <c r="D90" s="1" t="s">
        <v>26</v>
      </c>
      <c r="E90" s="1" t="s">
        <v>324</v>
      </c>
      <c r="F90" s="1">
        <v>234.24</v>
      </c>
      <c r="G90" s="1"/>
      <c r="H90" s="2">
        <f t="shared" si="1"/>
        <v>-234.24</v>
      </c>
      <c r="I90" s="16" t="str">
        <f>TEXT(Table3[[#This Row],[Date]],"mmm")</f>
        <v>Feb</v>
      </c>
    </row>
    <row r="91" spans="1:9" x14ac:dyDescent="0.3">
      <c r="A91" s="8" t="s">
        <v>74</v>
      </c>
      <c r="B91" s="1" t="s">
        <v>320</v>
      </c>
      <c r="C91" s="1" t="s">
        <v>7</v>
      </c>
      <c r="D91" s="1" t="s">
        <v>15</v>
      </c>
      <c r="E91" s="1" t="s">
        <v>324</v>
      </c>
      <c r="F91" s="1">
        <v>108.76</v>
      </c>
      <c r="G91" s="1"/>
      <c r="H91" s="2">
        <f t="shared" si="1"/>
        <v>-108.76</v>
      </c>
      <c r="I91" s="16" t="str">
        <f>TEXT(Table3[[#This Row],[Date]],"mmm")</f>
        <v>Feb</v>
      </c>
    </row>
    <row r="92" spans="1:9" x14ac:dyDescent="0.3">
      <c r="A92" s="8" t="s">
        <v>75</v>
      </c>
      <c r="B92" s="1" t="s">
        <v>320</v>
      </c>
      <c r="C92" s="1" t="s">
        <v>10</v>
      </c>
      <c r="D92" s="1" t="s">
        <v>19</v>
      </c>
      <c r="E92" s="1" t="s">
        <v>324</v>
      </c>
      <c r="F92" s="1">
        <v>56.73</v>
      </c>
      <c r="G92" s="1"/>
      <c r="H92" s="2">
        <f t="shared" si="1"/>
        <v>-56.73</v>
      </c>
      <c r="I92" s="16" t="str">
        <f>TEXT(Table3[[#This Row],[Date]],"mmm")</f>
        <v>Feb</v>
      </c>
    </row>
    <row r="93" spans="1:9" x14ac:dyDescent="0.3">
      <c r="A93" s="8" t="s">
        <v>76</v>
      </c>
      <c r="B93" s="1" t="s">
        <v>320</v>
      </c>
      <c r="C93" s="1" t="s">
        <v>8</v>
      </c>
      <c r="D93" s="1" t="s">
        <v>28</v>
      </c>
      <c r="E93" s="1" t="s">
        <v>324</v>
      </c>
      <c r="F93" s="1">
        <v>15.82</v>
      </c>
      <c r="G93" s="1"/>
      <c r="H93" s="2">
        <f t="shared" si="1"/>
        <v>-15.82</v>
      </c>
      <c r="I93" s="16" t="str">
        <f>TEXT(Table3[[#This Row],[Date]],"mmm")</f>
        <v>Feb</v>
      </c>
    </row>
    <row r="94" spans="1:9" x14ac:dyDescent="0.3">
      <c r="A94" s="8" t="s">
        <v>76</v>
      </c>
      <c r="B94" s="1" t="s">
        <v>320</v>
      </c>
      <c r="C94" s="1" t="s">
        <v>10</v>
      </c>
      <c r="D94" s="1" t="s">
        <v>22</v>
      </c>
      <c r="E94" s="1" t="s">
        <v>324</v>
      </c>
      <c r="F94" s="1">
        <v>138.75</v>
      </c>
      <c r="G94" s="1"/>
      <c r="H94" s="2">
        <f t="shared" si="1"/>
        <v>-138.75</v>
      </c>
      <c r="I94" s="16" t="str">
        <f>TEXT(Table3[[#This Row],[Date]],"mmm")</f>
        <v>Feb</v>
      </c>
    </row>
    <row r="95" spans="1:9" x14ac:dyDescent="0.3">
      <c r="A95" s="8" t="s">
        <v>77</v>
      </c>
      <c r="B95" s="1" t="s">
        <v>320</v>
      </c>
      <c r="C95" s="1" t="s">
        <v>8</v>
      </c>
      <c r="D95" s="1" t="s">
        <v>28</v>
      </c>
      <c r="E95" s="1" t="s">
        <v>324</v>
      </c>
      <c r="F95" s="1">
        <v>14.82</v>
      </c>
      <c r="G95" s="1"/>
      <c r="H95" s="2">
        <f t="shared" si="1"/>
        <v>-14.82</v>
      </c>
      <c r="I95" s="16" t="str">
        <f>TEXT(Table3[[#This Row],[Date]],"mmm")</f>
        <v>Feb</v>
      </c>
    </row>
    <row r="96" spans="1:9" x14ac:dyDescent="0.3">
      <c r="A96" s="8" t="s">
        <v>77</v>
      </c>
      <c r="B96" s="1" t="s">
        <v>320</v>
      </c>
      <c r="C96" s="1" t="s">
        <v>9</v>
      </c>
      <c r="D96" s="1" t="s">
        <v>21</v>
      </c>
      <c r="E96" s="1" t="s">
        <v>324</v>
      </c>
      <c r="F96" s="1">
        <v>148.91999999999999</v>
      </c>
      <c r="G96" s="1"/>
      <c r="H96" s="2">
        <f t="shared" si="1"/>
        <v>-148.91999999999999</v>
      </c>
      <c r="I96" s="16" t="str">
        <f>TEXT(Table3[[#This Row],[Date]],"mmm")</f>
        <v>Feb</v>
      </c>
    </row>
    <row r="97" spans="1:9" x14ac:dyDescent="0.3">
      <c r="A97" s="8" t="s">
        <v>77</v>
      </c>
      <c r="B97" s="1" t="s">
        <v>321</v>
      </c>
      <c r="C97" s="1" t="s">
        <v>9</v>
      </c>
      <c r="D97" s="1" t="s">
        <v>21</v>
      </c>
      <c r="E97" s="1" t="s">
        <v>324</v>
      </c>
      <c r="F97" s="1">
        <v>227.73</v>
      </c>
      <c r="G97" s="1"/>
      <c r="H97" s="2">
        <f t="shared" si="1"/>
        <v>-227.73</v>
      </c>
      <c r="I97" s="16" t="str">
        <f>TEXT(Table3[[#This Row],[Date]],"mmm")</f>
        <v>Feb</v>
      </c>
    </row>
    <row r="98" spans="1:9" x14ac:dyDescent="0.3">
      <c r="A98" s="8" t="s">
        <v>78</v>
      </c>
      <c r="B98" s="1" t="s">
        <v>321</v>
      </c>
      <c r="C98" s="1" t="s">
        <v>11</v>
      </c>
      <c r="D98" s="1" t="s">
        <v>20</v>
      </c>
      <c r="E98" s="1" t="s">
        <v>324</v>
      </c>
      <c r="F98" s="1">
        <v>106.08</v>
      </c>
      <c r="G98" s="1"/>
      <c r="H98" s="2">
        <f t="shared" si="1"/>
        <v>-106.08</v>
      </c>
      <c r="I98" s="16" t="str">
        <f>TEXT(Table3[[#This Row],[Date]],"mmm")</f>
        <v>Feb</v>
      </c>
    </row>
    <row r="99" spans="1:9" x14ac:dyDescent="0.3">
      <c r="A99" s="8" t="s">
        <v>78</v>
      </c>
      <c r="B99" s="1" t="s">
        <v>321</v>
      </c>
      <c r="C99" s="1" t="s">
        <v>10</v>
      </c>
      <c r="D99" s="1" t="s">
        <v>19</v>
      </c>
      <c r="E99" s="1" t="s">
        <v>324</v>
      </c>
      <c r="F99" s="1">
        <v>125.48</v>
      </c>
      <c r="G99" s="1"/>
      <c r="H99" s="2">
        <f t="shared" si="1"/>
        <v>-125.48</v>
      </c>
      <c r="I99" s="16" t="str">
        <f>TEXT(Table3[[#This Row],[Date]],"mmm")</f>
        <v>Feb</v>
      </c>
    </row>
    <row r="100" spans="1:9" x14ac:dyDescent="0.3">
      <c r="A100" s="8" t="s">
        <v>79</v>
      </c>
      <c r="B100" s="1" t="s">
        <v>320</v>
      </c>
      <c r="C100" s="1" t="s">
        <v>11</v>
      </c>
      <c r="D100" s="1" t="s">
        <v>20</v>
      </c>
      <c r="E100" s="1" t="s">
        <v>324</v>
      </c>
      <c r="F100" s="1">
        <v>237.55</v>
      </c>
      <c r="G100" s="1"/>
      <c r="H100" s="2">
        <f t="shared" si="1"/>
        <v>-237.55</v>
      </c>
      <c r="I100" s="16" t="str">
        <f>TEXT(Table3[[#This Row],[Date]],"mmm")</f>
        <v>Feb</v>
      </c>
    </row>
    <row r="101" spans="1:9" x14ac:dyDescent="0.3">
      <c r="A101" s="8" t="s">
        <v>79</v>
      </c>
      <c r="B101" s="1" t="s">
        <v>322</v>
      </c>
      <c r="C101" s="1" t="s">
        <v>12</v>
      </c>
      <c r="D101" s="1" t="s">
        <v>24</v>
      </c>
      <c r="E101" s="1" t="s">
        <v>324</v>
      </c>
      <c r="F101" s="1">
        <v>130.1</v>
      </c>
      <c r="G101" s="1"/>
      <c r="H101" s="2">
        <f t="shared" si="1"/>
        <v>-130.1</v>
      </c>
      <c r="I101" s="16" t="str">
        <f>TEXT(Table3[[#This Row],[Date]],"mmm")</f>
        <v>Feb</v>
      </c>
    </row>
    <row r="102" spans="1:9" x14ac:dyDescent="0.3">
      <c r="A102" s="8" t="s">
        <v>80</v>
      </c>
      <c r="B102" s="1" t="s">
        <v>320</v>
      </c>
      <c r="C102" s="1" t="s">
        <v>8</v>
      </c>
      <c r="D102" s="1" t="s">
        <v>28</v>
      </c>
      <c r="E102" s="1" t="s">
        <v>324</v>
      </c>
      <c r="F102" s="1">
        <v>160.63</v>
      </c>
      <c r="G102" s="1"/>
      <c r="H102" s="2">
        <f t="shared" si="1"/>
        <v>-160.63</v>
      </c>
      <c r="I102" s="16" t="str">
        <f>TEXT(Table3[[#This Row],[Date]],"mmm")</f>
        <v>Feb</v>
      </c>
    </row>
    <row r="103" spans="1:9" x14ac:dyDescent="0.3">
      <c r="A103" s="8" t="s">
        <v>80</v>
      </c>
      <c r="B103" s="1" t="s">
        <v>320</v>
      </c>
      <c r="C103" s="1" t="s">
        <v>13</v>
      </c>
      <c r="D103" s="1" t="s">
        <v>30</v>
      </c>
      <c r="E103" s="1" t="s">
        <v>13</v>
      </c>
      <c r="F103" s="1"/>
      <c r="G103" s="1">
        <v>7461</v>
      </c>
      <c r="H103" s="2">
        <v>7461</v>
      </c>
      <c r="I103" s="16" t="str">
        <f>TEXT(Table3[[#This Row],[Date]],"mmm")</f>
        <v>Feb</v>
      </c>
    </row>
    <row r="104" spans="1:9" x14ac:dyDescent="0.3">
      <c r="A104" s="8" t="s">
        <v>81</v>
      </c>
      <c r="B104" s="1" t="s">
        <v>321</v>
      </c>
      <c r="C104" s="1" t="s">
        <v>11</v>
      </c>
      <c r="D104" s="1" t="s">
        <v>25</v>
      </c>
      <c r="E104" s="1" t="s">
        <v>324</v>
      </c>
      <c r="F104" s="1">
        <v>182.85</v>
      </c>
      <c r="G104" s="1"/>
      <c r="H104" s="2">
        <f t="shared" si="1"/>
        <v>-182.85</v>
      </c>
      <c r="I104" s="16" t="str">
        <f>TEXT(Table3[[#This Row],[Date]],"mmm")</f>
        <v>Mar</v>
      </c>
    </row>
    <row r="105" spans="1:9" x14ac:dyDescent="0.3">
      <c r="A105" s="8" t="s">
        <v>81</v>
      </c>
      <c r="B105" s="1" t="s">
        <v>320</v>
      </c>
      <c r="C105" s="1" t="s">
        <v>6</v>
      </c>
      <c r="D105" s="1" t="s">
        <v>14</v>
      </c>
      <c r="E105" s="1" t="s">
        <v>324</v>
      </c>
      <c r="F105" s="1">
        <v>59.61</v>
      </c>
      <c r="G105" s="1"/>
      <c r="H105" s="2">
        <f t="shared" si="1"/>
        <v>-59.61</v>
      </c>
      <c r="I105" s="16" t="str">
        <f>TEXT(Table3[[#This Row],[Date]],"mmm")</f>
        <v>Mar</v>
      </c>
    </row>
    <row r="106" spans="1:9" x14ac:dyDescent="0.3">
      <c r="A106" s="8" t="s">
        <v>81</v>
      </c>
      <c r="B106" s="1" t="s">
        <v>321</v>
      </c>
      <c r="C106" s="1" t="s">
        <v>10</v>
      </c>
      <c r="D106" s="1" t="s">
        <v>19</v>
      </c>
      <c r="E106" s="1" t="s">
        <v>324</v>
      </c>
      <c r="F106" s="1">
        <v>153.16</v>
      </c>
      <c r="G106" s="1"/>
      <c r="H106" s="2">
        <f t="shared" si="1"/>
        <v>-153.16</v>
      </c>
      <c r="I106" s="16" t="str">
        <f>TEXT(Table3[[#This Row],[Date]],"mmm")</f>
        <v>Mar</v>
      </c>
    </row>
    <row r="107" spans="1:9" x14ac:dyDescent="0.3">
      <c r="A107" s="8" t="s">
        <v>81</v>
      </c>
      <c r="B107" s="1" t="s">
        <v>320</v>
      </c>
      <c r="C107" s="1" t="s">
        <v>9</v>
      </c>
      <c r="D107" s="1" t="s">
        <v>17</v>
      </c>
      <c r="E107" s="1" t="s">
        <v>324</v>
      </c>
      <c r="F107" s="1">
        <v>114.75</v>
      </c>
      <c r="G107" s="1"/>
      <c r="H107" s="2">
        <f t="shared" si="1"/>
        <v>-114.75</v>
      </c>
      <c r="I107" s="16" t="str">
        <f>TEXT(Table3[[#This Row],[Date]],"mmm")</f>
        <v>Mar</v>
      </c>
    </row>
    <row r="108" spans="1:9" x14ac:dyDescent="0.3">
      <c r="A108" s="8" t="s">
        <v>82</v>
      </c>
      <c r="B108" s="1" t="s">
        <v>321</v>
      </c>
      <c r="C108" s="1" t="s">
        <v>8</v>
      </c>
      <c r="D108" s="1" t="s">
        <v>26</v>
      </c>
      <c r="E108" s="1" t="s">
        <v>324</v>
      </c>
      <c r="F108" s="1">
        <v>186.29</v>
      </c>
      <c r="G108" s="1"/>
      <c r="H108" s="2">
        <f t="shared" si="1"/>
        <v>-186.29</v>
      </c>
      <c r="I108" s="16" t="str">
        <f>TEXT(Table3[[#This Row],[Date]],"mmm")</f>
        <v>Mar</v>
      </c>
    </row>
    <row r="109" spans="1:9" x14ac:dyDescent="0.3">
      <c r="A109" s="8" t="s">
        <v>83</v>
      </c>
      <c r="B109" s="1" t="s">
        <v>320</v>
      </c>
      <c r="C109" s="1" t="s">
        <v>10</v>
      </c>
      <c r="D109" s="1" t="s">
        <v>22</v>
      </c>
      <c r="E109" s="1" t="s">
        <v>324</v>
      </c>
      <c r="F109" s="1">
        <v>115.92</v>
      </c>
      <c r="G109" s="1"/>
      <c r="H109" s="2">
        <f t="shared" si="1"/>
        <v>-115.92</v>
      </c>
      <c r="I109" s="16" t="str">
        <f>TEXT(Table3[[#This Row],[Date]],"mmm")</f>
        <v>Mar</v>
      </c>
    </row>
    <row r="110" spans="1:9" x14ac:dyDescent="0.3">
      <c r="A110" s="8" t="s">
        <v>83</v>
      </c>
      <c r="B110" s="1" t="s">
        <v>320</v>
      </c>
      <c r="C110" s="1" t="s">
        <v>12</v>
      </c>
      <c r="D110" s="1" t="s">
        <v>29</v>
      </c>
      <c r="E110" s="1" t="s">
        <v>324</v>
      </c>
      <c r="F110" s="1">
        <v>126.69</v>
      </c>
      <c r="G110" s="1"/>
      <c r="H110" s="2">
        <f t="shared" si="1"/>
        <v>-126.69</v>
      </c>
      <c r="I110" s="16" t="str">
        <f>TEXT(Table3[[#This Row],[Date]],"mmm")</f>
        <v>Mar</v>
      </c>
    </row>
    <row r="111" spans="1:9" x14ac:dyDescent="0.3">
      <c r="A111" s="8" t="s">
        <v>84</v>
      </c>
      <c r="B111" s="1" t="s">
        <v>320</v>
      </c>
      <c r="C111" s="1" t="s">
        <v>8</v>
      </c>
      <c r="D111" s="1" t="s">
        <v>26</v>
      </c>
      <c r="E111" s="1" t="s">
        <v>324</v>
      </c>
      <c r="F111" s="1">
        <v>208.56</v>
      </c>
      <c r="G111" s="1"/>
      <c r="H111" s="2">
        <f t="shared" si="1"/>
        <v>-208.56</v>
      </c>
      <c r="I111" s="16" t="str">
        <f>TEXT(Table3[[#This Row],[Date]],"mmm")</f>
        <v>Mar</v>
      </c>
    </row>
    <row r="112" spans="1:9" x14ac:dyDescent="0.3">
      <c r="A112" s="8" t="s">
        <v>85</v>
      </c>
      <c r="B112" s="1" t="s">
        <v>320</v>
      </c>
      <c r="C112" s="1" t="s">
        <v>7</v>
      </c>
      <c r="D112" s="1" t="s">
        <v>15</v>
      </c>
      <c r="E112" s="1" t="s">
        <v>324</v>
      </c>
      <c r="F112" s="1">
        <v>181.16</v>
      </c>
      <c r="G112" s="1"/>
      <c r="H112" s="2">
        <f t="shared" si="1"/>
        <v>-181.16</v>
      </c>
      <c r="I112" s="16" t="str">
        <f>TEXT(Table3[[#This Row],[Date]],"mmm")</f>
        <v>Mar</v>
      </c>
    </row>
    <row r="113" spans="1:9" x14ac:dyDescent="0.3">
      <c r="A113" s="8" t="s">
        <v>85</v>
      </c>
      <c r="B113" s="1" t="s">
        <v>320</v>
      </c>
      <c r="C113" s="1" t="s">
        <v>6</v>
      </c>
      <c r="D113" s="1" t="s">
        <v>14</v>
      </c>
      <c r="E113" s="1" t="s">
        <v>324</v>
      </c>
      <c r="F113" s="1">
        <v>173.38</v>
      </c>
      <c r="G113" s="1"/>
      <c r="H113" s="2">
        <f t="shared" si="1"/>
        <v>-173.38</v>
      </c>
      <c r="I113" s="16" t="str">
        <f>TEXT(Table3[[#This Row],[Date]],"mmm")</f>
        <v>Mar</v>
      </c>
    </row>
    <row r="114" spans="1:9" x14ac:dyDescent="0.3">
      <c r="A114" s="8" t="s">
        <v>85</v>
      </c>
      <c r="B114" s="1" t="s">
        <v>320</v>
      </c>
      <c r="C114" s="1" t="s">
        <v>9</v>
      </c>
      <c r="D114" s="1" t="s">
        <v>21</v>
      </c>
      <c r="E114" s="1" t="s">
        <v>324</v>
      </c>
      <c r="F114" s="1">
        <v>171.88</v>
      </c>
      <c r="G114" s="1"/>
      <c r="H114" s="2">
        <f t="shared" si="1"/>
        <v>-171.88</v>
      </c>
      <c r="I114" s="16" t="str">
        <f>TEXT(Table3[[#This Row],[Date]],"mmm")</f>
        <v>Mar</v>
      </c>
    </row>
    <row r="115" spans="1:9" x14ac:dyDescent="0.3">
      <c r="A115" s="8" t="s">
        <v>86</v>
      </c>
      <c r="B115" s="1" t="s">
        <v>321</v>
      </c>
      <c r="C115" s="1" t="s">
        <v>7</v>
      </c>
      <c r="D115" s="1" t="s">
        <v>23</v>
      </c>
      <c r="E115" s="1" t="s">
        <v>324</v>
      </c>
      <c r="F115" s="1">
        <v>98.52</v>
      </c>
      <c r="G115" s="1"/>
      <c r="H115" s="2">
        <f t="shared" si="1"/>
        <v>-98.52</v>
      </c>
      <c r="I115" s="16" t="str">
        <f>TEXT(Table3[[#This Row],[Date]],"mmm")</f>
        <v>Mar</v>
      </c>
    </row>
    <row r="116" spans="1:9" x14ac:dyDescent="0.3">
      <c r="A116" s="8" t="s">
        <v>86</v>
      </c>
      <c r="B116" s="1" t="s">
        <v>322</v>
      </c>
      <c r="C116" s="1" t="s">
        <v>12</v>
      </c>
      <c r="D116" s="1" t="s">
        <v>29</v>
      </c>
      <c r="E116" s="1" t="s">
        <v>324</v>
      </c>
      <c r="F116" s="1">
        <v>35.76</v>
      </c>
      <c r="G116" s="1"/>
      <c r="H116" s="2">
        <f t="shared" si="1"/>
        <v>-35.76</v>
      </c>
      <c r="I116" s="16" t="str">
        <f>TEXT(Table3[[#This Row],[Date]],"mmm")</f>
        <v>Mar</v>
      </c>
    </row>
    <row r="117" spans="1:9" x14ac:dyDescent="0.3">
      <c r="A117" s="8" t="s">
        <v>87</v>
      </c>
      <c r="B117" s="1" t="s">
        <v>321</v>
      </c>
      <c r="C117" s="1" t="s">
        <v>7</v>
      </c>
      <c r="D117" s="1" t="s">
        <v>23</v>
      </c>
      <c r="E117" s="1" t="s">
        <v>324</v>
      </c>
      <c r="F117" s="1">
        <v>118.99</v>
      </c>
      <c r="G117" s="1"/>
      <c r="H117" s="2">
        <f t="shared" si="1"/>
        <v>-118.99</v>
      </c>
      <c r="I117" s="16" t="str">
        <f>TEXT(Table3[[#This Row],[Date]],"mmm")</f>
        <v>Mar</v>
      </c>
    </row>
    <row r="118" spans="1:9" x14ac:dyDescent="0.3">
      <c r="A118" s="8" t="s">
        <v>87</v>
      </c>
      <c r="B118" s="1" t="s">
        <v>321</v>
      </c>
      <c r="C118" s="1" t="s">
        <v>11</v>
      </c>
      <c r="D118" s="1" t="s">
        <v>25</v>
      </c>
      <c r="E118" s="1" t="s">
        <v>324</v>
      </c>
      <c r="F118" s="1">
        <v>208.45</v>
      </c>
      <c r="G118" s="1"/>
      <c r="H118" s="2">
        <f t="shared" si="1"/>
        <v>-208.45</v>
      </c>
      <c r="I118" s="16" t="str">
        <f>TEXT(Table3[[#This Row],[Date]],"mmm")</f>
        <v>Mar</v>
      </c>
    </row>
    <row r="119" spans="1:9" x14ac:dyDescent="0.3">
      <c r="A119" s="8" t="s">
        <v>88</v>
      </c>
      <c r="B119" s="1" t="s">
        <v>320</v>
      </c>
      <c r="C119" s="1" t="s">
        <v>12</v>
      </c>
      <c r="D119" s="1" t="s">
        <v>29</v>
      </c>
      <c r="E119" s="1" t="s">
        <v>324</v>
      </c>
      <c r="F119" s="1">
        <v>21.86</v>
      </c>
      <c r="G119" s="1"/>
      <c r="H119" s="2">
        <f t="shared" si="1"/>
        <v>-21.86</v>
      </c>
      <c r="I119" s="16" t="str">
        <f>TEXT(Table3[[#This Row],[Date]],"mmm")</f>
        <v>Mar</v>
      </c>
    </row>
    <row r="120" spans="1:9" x14ac:dyDescent="0.3">
      <c r="A120" s="8" t="s">
        <v>88</v>
      </c>
      <c r="B120" s="1" t="s">
        <v>321</v>
      </c>
      <c r="C120" s="1" t="s">
        <v>7</v>
      </c>
      <c r="D120" s="1" t="s">
        <v>15</v>
      </c>
      <c r="E120" s="1" t="s">
        <v>324</v>
      </c>
      <c r="F120" s="1">
        <v>10.9</v>
      </c>
      <c r="G120" s="1"/>
      <c r="H120" s="2">
        <f t="shared" si="1"/>
        <v>-10.9</v>
      </c>
      <c r="I120" s="16" t="str">
        <f>TEXT(Table3[[#This Row],[Date]],"mmm")</f>
        <v>Mar</v>
      </c>
    </row>
    <row r="121" spans="1:9" x14ac:dyDescent="0.3">
      <c r="A121" s="8" t="s">
        <v>89</v>
      </c>
      <c r="B121" s="1" t="s">
        <v>321</v>
      </c>
      <c r="C121" s="1" t="s">
        <v>10</v>
      </c>
      <c r="D121" s="1" t="s">
        <v>22</v>
      </c>
      <c r="E121" s="1" t="s">
        <v>324</v>
      </c>
      <c r="F121" s="1">
        <v>102.63</v>
      </c>
      <c r="G121" s="1"/>
      <c r="H121" s="2">
        <f t="shared" si="1"/>
        <v>-102.63</v>
      </c>
      <c r="I121" s="16" t="str">
        <f>TEXT(Table3[[#This Row],[Date]],"mmm")</f>
        <v>Mar</v>
      </c>
    </row>
    <row r="122" spans="1:9" x14ac:dyDescent="0.3">
      <c r="A122" s="8" t="s">
        <v>90</v>
      </c>
      <c r="B122" s="1" t="s">
        <v>320</v>
      </c>
      <c r="C122" s="1" t="s">
        <v>10</v>
      </c>
      <c r="D122" s="1" t="s">
        <v>19</v>
      </c>
      <c r="E122" s="1" t="s">
        <v>324</v>
      </c>
      <c r="F122" s="1">
        <v>172.53</v>
      </c>
      <c r="G122" s="1"/>
      <c r="H122" s="2">
        <f t="shared" si="1"/>
        <v>-172.53</v>
      </c>
      <c r="I122" s="16" t="str">
        <f>TEXT(Table3[[#This Row],[Date]],"mmm")</f>
        <v>Mar</v>
      </c>
    </row>
    <row r="123" spans="1:9" x14ac:dyDescent="0.3">
      <c r="A123" s="8" t="s">
        <v>90</v>
      </c>
      <c r="B123" s="1" t="s">
        <v>321</v>
      </c>
      <c r="C123" s="1" t="s">
        <v>8</v>
      </c>
      <c r="D123" s="1" t="s">
        <v>28</v>
      </c>
      <c r="E123" s="1" t="s">
        <v>324</v>
      </c>
      <c r="F123" s="1">
        <v>11.44</v>
      </c>
      <c r="G123" s="1"/>
      <c r="H123" s="2">
        <f t="shared" si="1"/>
        <v>-11.44</v>
      </c>
      <c r="I123" s="16" t="str">
        <f>TEXT(Table3[[#This Row],[Date]],"mmm")</f>
        <v>Mar</v>
      </c>
    </row>
    <row r="124" spans="1:9" x14ac:dyDescent="0.3">
      <c r="A124" s="8" t="s">
        <v>91</v>
      </c>
      <c r="B124" s="1" t="s">
        <v>320</v>
      </c>
      <c r="C124" s="1" t="s">
        <v>8</v>
      </c>
      <c r="D124" s="1" t="s">
        <v>26</v>
      </c>
      <c r="E124" s="1" t="s">
        <v>324</v>
      </c>
      <c r="F124" s="1">
        <v>170.26</v>
      </c>
      <c r="G124" s="1"/>
      <c r="H124" s="2">
        <f t="shared" si="1"/>
        <v>-170.26</v>
      </c>
      <c r="I124" s="16" t="str">
        <f>TEXT(Table3[[#This Row],[Date]],"mmm")</f>
        <v>Mar</v>
      </c>
    </row>
    <row r="125" spans="1:9" x14ac:dyDescent="0.3">
      <c r="A125" s="8" t="s">
        <v>92</v>
      </c>
      <c r="B125" s="1" t="s">
        <v>321</v>
      </c>
      <c r="C125" s="1" t="s">
        <v>12</v>
      </c>
      <c r="D125" s="1" t="s">
        <v>29</v>
      </c>
      <c r="E125" s="1" t="s">
        <v>324</v>
      </c>
      <c r="F125" s="1">
        <v>84.04</v>
      </c>
      <c r="G125" s="1"/>
      <c r="H125" s="2">
        <f t="shared" si="1"/>
        <v>-84.04</v>
      </c>
      <c r="I125" s="16" t="str">
        <f>TEXT(Table3[[#This Row],[Date]],"mmm")</f>
        <v>Mar</v>
      </c>
    </row>
    <row r="126" spans="1:9" x14ac:dyDescent="0.3">
      <c r="A126" s="8" t="s">
        <v>93</v>
      </c>
      <c r="B126" s="1" t="s">
        <v>321</v>
      </c>
      <c r="C126" s="1" t="s">
        <v>11</v>
      </c>
      <c r="D126" s="1" t="s">
        <v>25</v>
      </c>
      <c r="E126" s="1" t="s">
        <v>324</v>
      </c>
      <c r="F126" s="1">
        <v>190</v>
      </c>
      <c r="G126" s="1"/>
      <c r="H126" s="2">
        <f t="shared" si="1"/>
        <v>-190</v>
      </c>
      <c r="I126" s="16" t="str">
        <f>TEXT(Table3[[#This Row],[Date]],"mmm")</f>
        <v>Mar</v>
      </c>
    </row>
    <row r="127" spans="1:9" x14ac:dyDescent="0.3">
      <c r="A127" s="8" t="s">
        <v>93</v>
      </c>
      <c r="B127" s="1" t="s">
        <v>321</v>
      </c>
      <c r="C127" s="1" t="s">
        <v>10</v>
      </c>
      <c r="D127" s="1" t="s">
        <v>19</v>
      </c>
      <c r="E127" s="1" t="s">
        <v>324</v>
      </c>
      <c r="F127" s="1">
        <v>70.709999999999994</v>
      </c>
      <c r="G127" s="1"/>
      <c r="H127" s="2">
        <f t="shared" si="1"/>
        <v>-70.709999999999994</v>
      </c>
      <c r="I127" s="16" t="str">
        <f>TEXT(Table3[[#This Row],[Date]],"mmm")</f>
        <v>Mar</v>
      </c>
    </row>
    <row r="128" spans="1:9" x14ac:dyDescent="0.3">
      <c r="A128" s="8" t="s">
        <v>93</v>
      </c>
      <c r="B128" s="1" t="s">
        <v>321</v>
      </c>
      <c r="C128" s="1" t="s">
        <v>11</v>
      </c>
      <c r="D128" s="1" t="s">
        <v>20</v>
      </c>
      <c r="E128" s="1" t="s">
        <v>324</v>
      </c>
      <c r="F128" s="1">
        <v>190.56</v>
      </c>
      <c r="G128" s="1"/>
      <c r="H128" s="2">
        <f t="shared" si="1"/>
        <v>-190.56</v>
      </c>
      <c r="I128" s="16" t="str">
        <f>TEXT(Table3[[#This Row],[Date]],"mmm")</f>
        <v>Mar</v>
      </c>
    </row>
    <row r="129" spans="1:9" x14ac:dyDescent="0.3">
      <c r="A129" s="8" t="s">
        <v>94</v>
      </c>
      <c r="B129" s="1" t="s">
        <v>321</v>
      </c>
      <c r="C129" s="1" t="s">
        <v>10</v>
      </c>
      <c r="D129" s="1" t="s">
        <v>19</v>
      </c>
      <c r="E129" s="1" t="s">
        <v>324</v>
      </c>
      <c r="F129" s="1">
        <v>10.9</v>
      </c>
      <c r="G129" s="1"/>
      <c r="H129" s="2">
        <f t="shared" si="1"/>
        <v>-10.9</v>
      </c>
      <c r="I129" s="16" t="str">
        <f>TEXT(Table3[[#This Row],[Date]],"mmm")</f>
        <v>Mar</v>
      </c>
    </row>
    <row r="130" spans="1:9" x14ac:dyDescent="0.3">
      <c r="A130" s="8" t="s">
        <v>95</v>
      </c>
      <c r="B130" s="1" t="s">
        <v>321</v>
      </c>
      <c r="C130" s="1" t="s">
        <v>6</v>
      </c>
      <c r="D130" s="1" t="s">
        <v>14</v>
      </c>
      <c r="E130" s="1" t="s">
        <v>324</v>
      </c>
      <c r="F130" s="1">
        <v>229.97</v>
      </c>
      <c r="G130" s="1"/>
      <c r="H130" s="2">
        <f t="shared" si="1"/>
        <v>-229.97</v>
      </c>
      <c r="I130" s="16" t="str">
        <f>TEXT(Table3[[#This Row],[Date]],"mmm")</f>
        <v>Mar</v>
      </c>
    </row>
    <row r="131" spans="1:9" x14ac:dyDescent="0.3">
      <c r="A131" s="8" t="s">
        <v>95</v>
      </c>
      <c r="B131" s="1" t="s">
        <v>321</v>
      </c>
      <c r="C131" s="1" t="s">
        <v>6</v>
      </c>
      <c r="D131" s="1" t="s">
        <v>14</v>
      </c>
      <c r="E131" s="1" t="s">
        <v>324</v>
      </c>
      <c r="F131" s="1">
        <v>237.91</v>
      </c>
      <c r="G131" s="1"/>
      <c r="H131" s="2">
        <f t="shared" ref="H131:H194" si="2">F131*-1</f>
        <v>-237.91</v>
      </c>
      <c r="I131" s="16" t="str">
        <f>TEXT(Table3[[#This Row],[Date]],"mmm")</f>
        <v>Mar</v>
      </c>
    </row>
    <row r="132" spans="1:9" x14ac:dyDescent="0.3">
      <c r="A132" s="8" t="s">
        <v>96</v>
      </c>
      <c r="B132" s="1" t="s">
        <v>320</v>
      </c>
      <c r="C132" s="1" t="s">
        <v>11</v>
      </c>
      <c r="D132" s="1" t="s">
        <v>27</v>
      </c>
      <c r="E132" s="1" t="s">
        <v>324</v>
      </c>
      <c r="F132" s="1">
        <v>32.25</v>
      </c>
      <c r="G132" s="1"/>
      <c r="H132" s="2">
        <f t="shared" si="2"/>
        <v>-32.25</v>
      </c>
      <c r="I132" s="16" t="str">
        <f>TEXT(Table3[[#This Row],[Date]],"mmm")</f>
        <v>Mar</v>
      </c>
    </row>
    <row r="133" spans="1:9" x14ac:dyDescent="0.3">
      <c r="A133" s="8" t="s">
        <v>97</v>
      </c>
      <c r="B133" s="1" t="s">
        <v>321</v>
      </c>
      <c r="C133" s="1" t="s">
        <v>8</v>
      </c>
      <c r="D133" s="1" t="s">
        <v>26</v>
      </c>
      <c r="E133" s="1" t="s">
        <v>324</v>
      </c>
      <c r="F133" s="1">
        <v>70.09</v>
      </c>
      <c r="G133" s="1"/>
      <c r="H133" s="2">
        <f t="shared" si="2"/>
        <v>-70.09</v>
      </c>
      <c r="I133" s="16" t="str">
        <f>TEXT(Table3[[#This Row],[Date]],"mmm")</f>
        <v>Mar</v>
      </c>
    </row>
    <row r="134" spans="1:9" x14ac:dyDescent="0.3">
      <c r="A134" s="8" t="s">
        <v>97</v>
      </c>
      <c r="B134" s="1" t="s">
        <v>320</v>
      </c>
      <c r="C134" s="1" t="s">
        <v>10</v>
      </c>
      <c r="D134" s="1" t="s">
        <v>22</v>
      </c>
      <c r="E134" s="1" t="s">
        <v>324</v>
      </c>
      <c r="F134" s="1">
        <v>182.36</v>
      </c>
      <c r="G134" s="1"/>
      <c r="H134" s="2">
        <f t="shared" si="2"/>
        <v>-182.36</v>
      </c>
      <c r="I134" s="16" t="str">
        <f>TEXT(Table3[[#This Row],[Date]],"mmm")</f>
        <v>Mar</v>
      </c>
    </row>
    <row r="135" spans="1:9" x14ac:dyDescent="0.3">
      <c r="A135" s="8" t="s">
        <v>97</v>
      </c>
      <c r="B135" s="1" t="s">
        <v>320</v>
      </c>
      <c r="C135" s="1" t="s">
        <v>10</v>
      </c>
      <c r="D135" s="1" t="s">
        <v>22</v>
      </c>
      <c r="E135" s="1" t="s">
        <v>324</v>
      </c>
      <c r="F135" s="1">
        <v>124.69</v>
      </c>
      <c r="G135" s="1"/>
      <c r="H135" s="2">
        <f t="shared" si="2"/>
        <v>-124.69</v>
      </c>
      <c r="I135" s="16" t="str">
        <f>TEXT(Table3[[#This Row],[Date]],"mmm")</f>
        <v>Mar</v>
      </c>
    </row>
    <row r="136" spans="1:9" x14ac:dyDescent="0.3">
      <c r="A136" s="8" t="s">
        <v>98</v>
      </c>
      <c r="B136" s="1" t="s">
        <v>321</v>
      </c>
      <c r="C136" s="1" t="s">
        <v>9</v>
      </c>
      <c r="D136" s="1" t="s">
        <v>21</v>
      </c>
      <c r="E136" s="1" t="s">
        <v>324</v>
      </c>
      <c r="F136" s="1">
        <v>16.23</v>
      </c>
      <c r="G136" s="1"/>
      <c r="H136" s="2">
        <f t="shared" si="2"/>
        <v>-16.23</v>
      </c>
      <c r="I136" s="16" t="str">
        <f>TEXT(Table3[[#This Row],[Date]],"mmm")</f>
        <v>Mar</v>
      </c>
    </row>
    <row r="137" spans="1:9" x14ac:dyDescent="0.3">
      <c r="A137" s="8" t="s">
        <v>99</v>
      </c>
      <c r="B137" s="1" t="s">
        <v>321</v>
      </c>
      <c r="C137" s="1" t="s">
        <v>12</v>
      </c>
      <c r="D137" s="1" t="s">
        <v>24</v>
      </c>
      <c r="E137" s="1" t="s">
        <v>324</v>
      </c>
      <c r="F137" s="1">
        <v>166.86</v>
      </c>
      <c r="G137" s="1"/>
      <c r="H137" s="2">
        <f t="shared" si="2"/>
        <v>-166.86</v>
      </c>
      <c r="I137" s="16" t="str">
        <f>TEXT(Table3[[#This Row],[Date]],"mmm")</f>
        <v>Mar</v>
      </c>
    </row>
    <row r="138" spans="1:9" x14ac:dyDescent="0.3">
      <c r="A138" s="8" t="s">
        <v>99</v>
      </c>
      <c r="B138" s="1" t="s">
        <v>320</v>
      </c>
      <c r="C138" s="1" t="s">
        <v>11</v>
      </c>
      <c r="D138" s="1" t="s">
        <v>27</v>
      </c>
      <c r="E138" s="1" t="s">
        <v>324</v>
      </c>
      <c r="F138" s="1">
        <v>128.66</v>
      </c>
      <c r="G138" s="1"/>
      <c r="H138" s="2">
        <f t="shared" si="2"/>
        <v>-128.66</v>
      </c>
      <c r="I138" s="16" t="str">
        <f>TEXT(Table3[[#This Row],[Date]],"mmm")</f>
        <v>Mar</v>
      </c>
    </row>
    <row r="139" spans="1:9" x14ac:dyDescent="0.3">
      <c r="A139" s="8" t="s">
        <v>99</v>
      </c>
      <c r="B139" s="1" t="s">
        <v>320</v>
      </c>
      <c r="C139" s="1" t="s">
        <v>11</v>
      </c>
      <c r="D139" s="1" t="s">
        <v>25</v>
      </c>
      <c r="E139" s="1" t="s">
        <v>324</v>
      </c>
      <c r="F139" s="1">
        <v>185.28</v>
      </c>
      <c r="G139" s="1"/>
      <c r="H139" s="2">
        <f t="shared" si="2"/>
        <v>-185.28</v>
      </c>
      <c r="I139" s="16" t="str">
        <f>TEXT(Table3[[#This Row],[Date]],"mmm")</f>
        <v>Mar</v>
      </c>
    </row>
    <row r="140" spans="1:9" x14ac:dyDescent="0.3">
      <c r="A140" s="8" t="s">
        <v>100</v>
      </c>
      <c r="B140" s="1" t="s">
        <v>320</v>
      </c>
      <c r="C140" s="1" t="s">
        <v>7</v>
      </c>
      <c r="D140" s="1" t="s">
        <v>23</v>
      </c>
      <c r="E140" s="1" t="s">
        <v>324</v>
      </c>
      <c r="F140" s="1">
        <v>117.01</v>
      </c>
      <c r="G140" s="1"/>
      <c r="H140" s="2">
        <f t="shared" si="2"/>
        <v>-117.01</v>
      </c>
      <c r="I140" s="16" t="str">
        <f>TEXT(Table3[[#This Row],[Date]],"mmm")</f>
        <v>Mar</v>
      </c>
    </row>
    <row r="141" spans="1:9" x14ac:dyDescent="0.3">
      <c r="A141" s="8" t="s">
        <v>100</v>
      </c>
      <c r="B141" s="1" t="s">
        <v>320</v>
      </c>
      <c r="C141" s="1" t="s">
        <v>8</v>
      </c>
      <c r="D141" s="1" t="s">
        <v>16</v>
      </c>
      <c r="E141" s="1" t="s">
        <v>324</v>
      </c>
      <c r="F141" s="1">
        <v>222.25</v>
      </c>
      <c r="G141" s="1"/>
      <c r="H141" s="2">
        <f t="shared" si="2"/>
        <v>-222.25</v>
      </c>
      <c r="I141" s="16" t="str">
        <f>TEXT(Table3[[#This Row],[Date]],"mmm")</f>
        <v>Mar</v>
      </c>
    </row>
    <row r="142" spans="1:9" x14ac:dyDescent="0.3">
      <c r="A142" s="8" t="s">
        <v>100</v>
      </c>
      <c r="B142" s="1" t="s">
        <v>320</v>
      </c>
      <c r="C142" s="1" t="s">
        <v>9</v>
      </c>
      <c r="D142" s="1" t="s">
        <v>21</v>
      </c>
      <c r="E142" s="1" t="s">
        <v>324</v>
      </c>
      <c r="F142" s="1">
        <v>124.16</v>
      </c>
      <c r="G142" s="1"/>
      <c r="H142" s="2">
        <f t="shared" si="2"/>
        <v>-124.16</v>
      </c>
      <c r="I142" s="16" t="str">
        <f>TEXT(Table3[[#This Row],[Date]],"mmm")</f>
        <v>Mar</v>
      </c>
    </row>
    <row r="143" spans="1:9" x14ac:dyDescent="0.3">
      <c r="A143" s="8" t="s">
        <v>101</v>
      </c>
      <c r="B143" s="1" t="s">
        <v>321</v>
      </c>
      <c r="C143" s="1" t="s">
        <v>7</v>
      </c>
      <c r="D143" s="1" t="s">
        <v>23</v>
      </c>
      <c r="E143" s="1" t="s">
        <v>324</v>
      </c>
      <c r="F143" s="1">
        <v>96.19</v>
      </c>
      <c r="G143" s="1"/>
      <c r="H143" s="2">
        <f t="shared" si="2"/>
        <v>-96.19</v>
      </c>
      <c r="I143" s="16" t="str">
        <f>TEXT(Table3[[#This Row],[Date]],"mmm")</f>
        <v>Mar</v>
      </c>
    </row>
    <row r="144" spans="1:9" x14ac:dyDescent="0.3">
      <c r="A144" s="8" t="s">
        <v>101</v>
      </c>
      <c r="B144" s="1" t="s">
        <v>320</v>
      </c>
      <c r="C144" s="1" t="s">
        <v>11</v>
      </c>
      <c r="D144" s="1" t="s">
        <v>27</v>
      </c>
      <c r="E144" s="1" t="s">
        <v>324</v>
      </c>
      <c r="F144" s="1">
        <v>99.35</v>
      </c>
      <c r="G144" s="1"/>
      <c r="H144" s="2">
        <f t="shared" si="2"/>
        <v>-99.35</v>
      </c>
      <c r="I144" s="16" t="str">
        <f>TEXT(Table3[[#This Row],[Date]],"mmm")</f>
        <v>Mar</v>
      </c>
    </row>
    <row r="145" spans="1:9" x14ac:dyDescent="0.3">
      <c r="A145" s="8" t="s">
        <v>101</v>
      </c>
      <c r="B145" s="1" t="s">
        <v>321</v>
      </c>
      <c r="C145" s="1" t="s">
        <v>8</v>
      </c>
      <c r="D145" s="1" t="s">
        <v>16</v>
      </c>
      <c r="E145" s="1" t="s">
        <v>324</v>
      </c>
      <c r="F145" s="1">
        <v>229.36</v>
      </c>
      <c r="G145" s="1"/>
      <c r="H145" s="2">
        <f t="shared" si="2"/>
        <v>-229.36</v>
      </c>
      <c r="I145" s="16" t="str">
        <f>TEXT(Table3[[#This Row],[Date]],"mmm")</f>
        <v>Mar</v>
      </c>
    </row>
    <row r="146" spans="1:9" x14ac:dyDescent="0.3">
      <c r="A146" s="8" t="s">
        <v>102</v>
      </c>
      <c r="B146" s="1" t="s">
        <v>320</v>
      </c>
      <c r="C146" s="1" t="s">
        <v>10</v>
      </c>
      <c r="D146" s="1" t="s">
        <v>22</v>
      </c>
      <c r="E146" s="1" t="s">
        <v>324</v>
      </c>
      <c r="F146" s="1">
        <v>51.97</v>
      </c>
      <c r="G146" s="1"/>
      <c r="H146" s="2">
        <f t="shared" si="2"/>
        <v>-51.97</v>
      </c>
      <c r="I146" s="16" t="str">
        <f>TEXT(Table3[[#This Row],[Date]],"mmm")</f>
        <v>Mar</v>
      </c>
    </row>
    <row r="147" spans="1:9" x14ac:dyDescent="0.3">
      <c r="A147" s="8" t="s">
        <v>103</v>
      </c>
      <c r="B147" s="1" t="s">
        <v>321</v>
      </c>
      <c r="C147" s="1" t="s">
        <v>10</v>
      </c>
      <c r="D147" s="1" t="s">
        <v>22</v>
      </c>
      <c r="E147" s="1" t="s">
        <v>324</v>
      </c>
      <c r="F147" s="1">
        <v>186.89</v>
      </c>
      <c r="G147" s="1"/>
      <c r="H147" s="2">
        <f t="shared" si="2"/>
        <v>-186.89</v>
      </c>
      <c r="I147" s="16" t="str">
        <f>TEXT(Table3[[#This Row],[Date]],"mmm")</f>
        <v>Mar</v>
      </c>
    </row>
    <row r="148" spans="1:9" x14ac:dyDescent="0.3">
      <c r="A148" s="8" t="s">
        <v>103</v>
      </c>
      <c r="B148" s="1" t="s">
        <v>320</v>
      </c>
      <c r="C148" s="1" t="s">
        <v>6</v>
      </c>
      <c r="D148" s="1" t="s">
        <v>14</v>
      </c>
      <c r="E148" s="1" t="s">
        <v>324</v>
      </c>
      <c r="F148" s="1">
        <v>131.69999999999999</v>
      </c>
      <c r="G148" s="1"/>
      <c r="H148" s="2">
        <f t="shared" si="2"/>
        <v>-131.69999999999999</v>
      </c>
      <c r="I148" s="16" t="str">
        <f>TEXT(Table3[[#This Row],[Date]],"mmm")</f>
        <v>Mar</v>
      </c>
    </row>
    <row r="149" spans="1:9" x14ac:dyDescent="0.3">
      <c r="A149" s="8" t="s">
        <v>104</v>
      </c>
      <c r="B149" s="1" t="s">
        <v>320</v>
      </c>
      <c r="C149" s="1" t="s">
        <v>8</v>
      </c>
      <c r="D149" s="1" t="s">
        <v>28</v>
      </c>
      <c r="E149" s="1" t="s">
        <v>324</v>
      </c>
      <c r="F149" s="1">
        <v>177.42</v>
      </c>
      <c r="G149" s="1"/>
      <c r="H149" s="2">
        <f t="shared" si="2"/>
        <v>-177.42</v>
      </c>
      <c r="I149" s="16" t="str">
        <f>TEXT(Table3[[#This Row],[Date]],"mmm")</f>
        <v>Mar</v>
      </c>
    </row>
    <row r="150" spans="1:9" x14ac:dyDescent="0.3">
      <c r="A150" s="8" t="s">
        <v>104</v>
      </c>
      <c r="B150" s="1" t="s">
        <v>322</v>
      </c>
      <c r="C150" s="1" t="s">
        <v>12</v>
      </c>
      <c r="D150" s="1" t="s">
        <v>24</v>
      </c>
      <c r="E150" s="1" t="s">
        <v>324</v>
      </c>
      <c r="F150" s="1">
        <v>181.95</v>
      </c>
      <c r="G150" s="1"/>
      <c r="H150" s="2">
        <f t="shared" si="2"/>
        <v>-181.95</v>
      </c>
      <c r="I150" s="16" t="str">
        <f>TEXT(Table3[[#This Row],[Date]],"mmm")</f>
        <v>Mar</v>
      </c>
    </row>
    <row r="151" spans="1:9" x14ac:dyDescent="0.3">
      <c r="A151" s="8" t="s">
        <v>105</v>
      </c>
      <c r="B151" s="1" t="s">
        <v>320</v>
      </c>
      <c r="C151" s="1" t="s">
        <v>8</v>
      </c>
      <c r="D151" s="1" t="s">
        <v>26</v>
      </c>
      <c r="E151" s="1" t="s">
        <v>324</v>
      </c>
      <c r="F151" s="1">
        <v>69.48</v>
      </c>
      <c r="G151" s="1"/>
      <c r="H151" s="2">
        <f t="shared" si="2"/>
        <v>-69.48</v>
      </c>
      <c r="I151" s="16" t="str">
        <f>TEXT(Table3[[#This Row],[Date]],"mmm")</f>
        <v>Mar</v>
      </c>
    </row>
    <row r="152" spans="1:9" x14ac:dyDescent="0.3">
      <c r="A152" s="8" t="s">
        <v>106</v>
      </c>
      <c r="B152" s="1" t="s">
        <v>321</v>
      </c>
      <c r="C152" s="1" t="s">
        <v>11</v>
      </c>
      <c r="D152" s="1" t="s">
        <v>25</v>
      </c>
      <c r="E152" s="1" t="s">
        <v>324</v>
      </c>
      <c r="F152" s="1">
        <v>188.13</v>
      </c>
      <c r="G152" s="1"/>
      <c r="H152" s="2">
        <f t="shared" si="2"/>
        <v>-188.13</v>
      </c>
      <c r="I152" s="16" t="str">
        <f>TEXT(Table3[[#This Row],[Date]],"mmm")</f>
        <v>Mar</v>
      </c>
    </row>
    <row r="153" spans="1:9" x14ac:dyDescent="0.3">
      <c r="A153" s="8" t="s">
        <v>106</v>
      </c>
      <c r="B153" s="1" t="s">
        <v>320</v>
      </c>
      <c r="C153" s="1" t="s">
        <v>8</v>
      </c>
      <c r="D153" s="1" t="s">
        <v>28</v>
      </c>
      <c r="E153" s="1" t="s">
        <v>324</v>
      </c>
      <c r="F153" s="1">
        <v>132.11000000000001</v>
      </c>
      <c r="G153" s="1"/>
      <c r="H153" s="2">
        <f t="shared" si="2"/>
        <v>-132.11000000000001</v>
      </c>
      <c r="I153" s="16" t="str">
        <f>TEXT(Table3[[#This Row],[Date]],"mmm")</f>
        <v>Mar</v>
      </c>
    </row>
    <row r="154" spans="1:9" x14ac:dyDescent="0.3">
      <c r="A154" s="8" t="s">
        <v>106</v>
      </c>
      <c r="B154" s="1" t="s">
        <v>320</v>
      </c>
      <c r="C154" s="1" t="s">
        <v>13</v>
      </c>
      <c r="D154" s="1" t="s">
        <v>30</v>
      </c>
      <c r="E154" s="1" t="s">
        <v>13</v>
      </c>
      <c r="F154" s="1"/>
      <c r="G154" s="1">
        <v>7461</v>
      </c>
      <c r="H154" s="2">
        <v>7461</v>
      </c>
      <c r="I154" s="16" t="str">
        <f>TEXT(Table3[[#This Row],[Date]],"mmm")</f>
        <v>Mar</v>
      </c>
    </row>
    <row r="155" spans="1:9" x14ac:dyDescent="0.3">
      <c r="A155" s="8" t="s">
        <v>107</v>
      </c>
      <c r="B155" s="1" t="s">
        <v>320</v>
      </c>
      <c r="C155" s="1" t="s">
        <v>10</v>
      </c>
      <c r="D155" s="1" t="s">
        <v>19</v>
      </c>
      <c r="E155" s="1" t="s">
        <v>324</v>
      </c>
      <c r="F155" s="1">
        <v>29.1</v>
      </c>
      <c r="G155" s="1"/>
      <c r="H155" s="2">
        <f t="shared" si="2"/>
        <v>-29.1</v>
      </c>
      <c r="I155" s="16" t="str">
        <f>TEXT(Table3[[#This Row],[Date]],"mmm")</f>
        <v>Apr</v>
      </c>
    </row>
    <row r="156" spans="1:9" x14ac:dyDescent="0.3">
      <c r="A156" s="8" t="s">
        <v>107</v>
      </c>
      <c r="B156" s="1" t="s">
        <v>320</v>
      </c>
      <c r="C156" s="1" t="s">
        <v>8</v>
      </c>
      <c r="D156" s="1" t="s">
        <v>26</v>
      </c>
      <c r="E156" s="1" t="s">
        <v>324</v>
      </c>
      <c r="F156" s="1">
        <v>71.430000000000007</v>
      </c>
      <c r="G156" s="1"/>
      <c r="H156" s="2">
        <f t="shared" si="2"/>
        <v>-71.430000000000007</v>
      </c>
      <c r="I156" s="16" t="str">
        <f>TEXT(Table3[[#This Row],[Date]],"mmm")</f>
        <v>Apr</v>
      </c>
    </row>
    <row r="157" spans="1:9" x14ac:dyDescent="0.3">
      <c r="A157" s="8" t="s">
        <v>107</v>
      </c>
      <c r="B157" s="1" t="s">
        <v>321</v>
      </c>
      <c r="C157" s="1" t="s">
        <v>10</v>
      </c>
      <c r="D157" s="1" t="s">
        <v>19</v>
      </c>
      <c r="E157" s="1" t="s">
        <v>324</v>
      </c>
      <c r="F157" s="1">
        <v>130.52000000000001</v>
      </c>
      <c r="G157" s="1"/>
      <c r="H157" s="2">
        <f t="shared" si="2"/>
        <v>-130.52000000000001</v>
      </c>
      <c r="I157" s="16" t="str">
        <f>TEXT(Table3[[#This Row],[Date]],"mmm")</f>
        <v>Apr</v>
      </c>
    </row>
    <row r="158" spans="1:9" x14ac:dyDescent="0.3">
      <c r="A158" s="8" t="s">
        <v>108</v>
      </c>
      <c r="B158" s="1" t="s">
        <v>320</v>
      </c>
      <c r="C158" s="1" t="s">
        <v>11</v>
      </c>
      <c r="D158" s="1" t="s">
        <v>20</v>
      </c>
      <c r="E158" s="1" t="s">
        <v>324</v>
      </c>
      <c r="F158" s="1">
        <v>127.44</v>
      </c>
      <c r="G158" s="1"/>
      <c r="H158" s="2">
        <f t="shared" si="2"/>
        <v>-127.44</v>
      </c>
      <c r="I158" s="16" t="str">
        <f>TEXT(Table3[[#This Row],[Date]],"mmm")</f>
        <v>Apr</v>
      </c>
    </row>
    <row r="159" spans="1:9" x14ac:dyDescent="0.3">
      <c r="A159" s="8" t="s">
        <v>109</v>
      </c>
      <c r="B159" s="1" t="s">
        <v>321</v>
      </c>
      <c r="C159" s="1" t="s">
        <v>6</v>
      </c>
      <c r="D159" s="1" t="s">
        <v>18</v>
      </c>
      <c r="E159" s="1" t="s">
        <v>324</v>
      </c>
      <c r="F159" s="1">
        <v>232.81</v>
      </c>
      <c r="G159" s="1"/>
      <c r="H159" s="2">
        <f t="shared" si="2"/>
        <v>-232.81</v>
      </c>
      <c r="I159" s="16" t="str">
        <f>TEXT(Table3[[#This Row],[Date]],"mmm")</f>
        <v>Apr</v>
      </c>
    </row>
    <row r="160" spans="1:9" x14ac:dyDescent="0.3">
      <c r="A160" s="8" t="s">
        <v>109</v>
      </c>
      <c r="B160" s="1" t="s">
        <v>321</v>
      </c>
      <c r="C160" s="1" t="s">
        <v>8</v>
      </c>
      <c r="D160" s="1" t="s">
        <v>28</v>
      </c>
      <c r="E160" s="1" t="s">
        <v>324</v>
      </c>
      <c r="F160" s="1">
        <v>88.08</v>
      </c>
      <c r="G160" s="1"/>
      <c r="H160" s="2">
        <f t="shared" si="2"/>
        <v>-88.08</v>
      </c>
      <c r="I160" s="16" t="str">
        <f>TEXT(Table3[[#This Row],[Date]],"mmm")</f>
        <v>Apr</v>
      </c>
    </row>
    <row r="161" spans="1:9" x14ac:dyDescent="0.3">
      <c r="A161" s="8" t="s">
        <v>110</v>
      </c>
      <c r="B161" s="1" t="s">
        <v>320</v>
      </c>
      <c r="C161" s="1" t="s">
        <v>8</v>
      </c>
      <c r="D161" s="1" t="s">
        <v>28</v>
      </c>
      <c r="E161" s="1" t="s">
        <v>324</v>
      </c>
      <c r="F161" s="1">
        <v>153.91999999999999</v>
      </c>
      <c r="G161" s="1"/>
      <c r="H161" s="2">
        <f t="shared" si="2"/>
        <v>-153.91999999999999</v>
      </c>
      <c r="I161" s="16" t="str">
        <f>TEXT(Table3[[#This Row],[Date]],"mmm")</f>
        <v>Apr</v>
      </c>
    </row>
    <row r="162" spans="1:9" x14ac:dyDescent="0.3">
      <c r="A162" s="8" t="s">
        <v>110</v>
      </c>
      <c r="B162" s="1" t="s">
        <v>321</v>
      </c>
      <c r="C162" s="1" t="s">
        <v>11</v>
      </c>
      <c r="D162" s="1" t="s">
        <v>27</v>
      </c>
      <c r="E162" s="1" t="s">
        <v>324</v>
      </c>
      <c r="F162" s="1">
        <v>152.76</v>
      </c>
      <c r="G162" s="1"/>
      <c r="H162" s="2">
        <f t="shared" si="2"/>
        <v>-152.76</v>
      </c>
      <c r="I162" s="16" t="str">
        <f>TEXT(Table3[[#This Row],[Date]],"mmm")</f>
        <v>Apr</v>
      </c>
    </row>
    <row r="163" spans="1:9" x14ac:dyDescent="0.3">
      <c r="A163" s="8" t="s">
        <v>111</v>
      </c>
      <c r="B163" s="1" t="s">
        <v>320</v>
      </c>
      <c r="C163" s="1" t="s">
        <v>6</v>
      </c>
      <c r="D163" s="1" t="s">
        <v>14</v>
      </c>
      <c r="E163" s="1" t="s">
        <v>324</v>
      </c>
      <c r="F163" s="1">
        <v>108.89</v>
      </c>
      <c r="G163" s="1"/>
      <c r="H163" s="2">
        <f t="shared" si="2"/>
        <v>-108.89</v>
      </c>
      <c r="I163" s="16" t="str">
        <f>TEXT(Table3[[#This Row],[Date]],"mmm")</f>
        <v>Apr</v>
      </c>
    </row>
    <row r="164" spans="1:9" x14ac:dyDescent="0.3">
      <c r="A164" s="8" t="s">
        <v>111</v>
      </c>
      <c r="B164" s="1" t="s">
        <v>320</v>
      </c>
      <c r="C164" s="1" t="s">
        <v>8</v>
      </c>
      <c r="D164" s="1" t="s">
        <v>16</v>
      </c>
      <c r="E164" s="1" t="s">
        <v>324</v>
      </c>
      <c r="F164" s="1">
        <v>211.35</v>
      </c>
      <c r="G164" s="1"/>
      <c r="H164" s="2">
        <f t="shared" si="2"/>
        <v>-211.35</v>
      </c>
      <c r="I164" s="16" t="str">
        <f>TEXT(Table3[[#This Row],[Date]],"mmm")</f>
        <v>Apr</v>
      </c>
    </row>
    <row r="165" spans="1:9" x14ac:dyDescent="0.3">
      <c r="A165" s="8" t="s">
        <v>112</v>
      </c>
      <c r="B165" s="1" t="s">
        <v>321</v>
      </c>
      <c r="C165" s="1" t="s">
        <v>11</v>
      </c>
      <c r="D165" s="1" t="s">
        <v>20</v>
      </c>
      <c r="E165" s="1" t="s">
        <v>324</v>
      </c>
      <c r="F165" s="1">
        <v>237.09</v>
      </c>
      <c r="G165" s="1"/>
      <c r="H165" s="2">
        <f t="shared" si="2"/>
        <v>-237.09</v>
      </c>
      <c r="I165" s="16" t="str">
        <f>TEXT(Table3[[#This Row],[Date]],"mmm")</f>
        <v>Apr</v>
      </c>
    </row>
    <row r="166" spans="1:9" x14ac:dyDescent="0.3">
      <c r="A166" s="8" t="s">
        <v>112</v>
      </c>
      <c r="B166" s="1" t="s">
        <v>320</v>
      </c>
      <c r="C166" s="1" t="s">
        <v>11</v>
      </c>
      <c r="D166" s="1" t="s">
        <v>20</v>
      </c>
      <c r="E166" s="1" t="s">
        <v>324</v>
      </c>
      <c r="F166" s="1">
        <v>38.229999999999997</v>
      </c>
      <c r="G166" s="1"/>
      <c r="H166" s="2">
        <f t="shared" si="2"/>
        <v>-38.229999999999997</v>
      </c>
      <c r="I166" s="16" t="str">
        <f>TEXT(Table3[[#This Row],[Date]],"mmm")</f>
        <v>Apr</v>
      </c>
    </row>
    <row r="167" spans="1:9" x14ac:dyDescent="0.3">
      <c r="A167" s="8" t="s">
        <v>112</v>
      </c>
      <c r="B167" s="1" t="s">
        <v>320</v>
      </c>
      <c r="C167" s="1" t="s">
        <v>6</v>
      </c>
      <c r="D167" s="1" t="s">
        <v>14</v>
      </c>
      <c r="E167" s="1" t="s">
        <v>324</v>
      </c>
      <c r="F167" s="1">
        <v>42.13</v>
      </c>
      <c r="G167" s="1"/>
      <c r="H167" s="2">
        <f t="shared" si="2"/>
        <v>-42.13</v>
      </c>
      <c r="I167" s="16" t="str">
        <f>TEXT(Table3[[#This Row],[Date]],"mmm")</f>
        <v>Apr</v>
      </c>
    </row>
    <row r="168" spans="1:9" x14ac:dyDescent="0.3">
      <c r="A168" s="8" t="s">
        <v>112</v>
      </c>
      <c r="B168" s="1" t="s">
        <v>320</v>
      </c>
      <c r="C168" s="1" t="s">
        <v>7</v>
      </c>
      <c r="D168" s="1" t="s">
        <v>23</v>
      </c>
      <c r="E168" s="1" t="s">
        <v>324</v>
      </c>
      <c r="F168" s="1">
        <v>195.25</v>
      </c>
      <c r="G168" s="1"/>
      <c r="H168" s="2">
        <f t="shared" si="2"/>
        <v>-195.25</v>
      </c>
      <c r="I168" s="16" t="str">
        <f>TEXT(Table3[[#This Row],[Date]],"mmm")</f>
        <v>Apr</v>
      </c>
    </row>
    <row r="169" spans="1:9" x14ac:dyDescent="0.3">
      <c r="A169" s="8" t="s">
        <v>112</v>
      </c>
      <c r="B169" s="1" t="s">
        <v>321</v>
      </c>
      <c r="C169" s="1" t="s">
        <v>11</v>
      </c>
      <c r="D169" s="1" t="s">
        <v>20</v>
      </c>
      <c r="E169" s="1" t="s">
        <v>324</v>
      </c>
      <c r="F169" s="1">
        <v>49.1</v>
      </c>
      <c r="G169" s="1"/>
      <c r="H169" s="2">
        <f t="shared" si="2"/>
        <v>-49.1</v>
      </c>
      <c r="I169" s="16" t="str">
        <f>TEXT(Table3[[#This Row],[Date]],"mmm")</f>
        <v>Apr</v>
      </c>
    </row>
    <row r="170" spans="1:9" x14ac:dyDescent="0.3">
      <c r="A170" s="8" t="s">
        <v>113</v>
      </c>
      <c r="B170" s="1" t="s">
        <v>321</v>
      </c>
      <c r="C170" s="1" t="s">
        <v>7</v>
      </c>
      <c r="D170" s="1" t="s">
        <v>23</v>
      </c>
      <c r="E170" s="1" t="s">
        <v>324</v>
      </c>
      <c r="F170" s="1">
        <v>90.55</v>
      </c>
      <c r="G170" s="1"/>
      <c r="H170" s="2">
        <f t="shared" si="2"/>
        <v>-90.55</v>
      </c>
      <c r="I170" s="16" t="str">
        <f>TEXT(Table3[[#This Row],[Date]],"mmm")</f>
        <v>Apr</v>
      </c>
    </row>
    <row r="171" spans="1:9" x14ac:dyDescent="0.3">
      <c r="A171" s="8" t="s">
        <v>113</v>
      </c>
      <c r="B171" s="1" t="s">
        <v>321</v>
      </c>
      <c r="C171" s="1" t="s">
        <v>12</v>
      </c>
      <c r="D171" s="1" t="s">
        <v>29</v>
      </c>
      <c r="E171" s="1" t="s">
        <v>324</v>
      </c>
      <c r="F171" s="1">
        <v>161.56</v>
      </c>
      <c r="G171" s="1"/>
      <c r="H171" s="2">
        <f t="shared" si="2"/>
        <v>-161.56</v>
      </c>
      <c r="I171" s="16" t="str">
        <f>TEXT(Table3[[#This Row],[Date]],"mmm")</f>
        <v>Apr</v>
      </c>
    </row>
    <row r="172" spans="1:9" x14ac:dyDescent="0.3">
      <c r="A172" s="8" t="s">
        <v>113</v>
      </c>
      <c r="B172" s="1" t="s">
        <v>321</v>
      </c>
      <c r="C172" s="1" t="s">
        <v>8</v>
      </c>
      <c r="D172" s="1" t="s">
        <v>28</v>
      </c>
      <c r="E172" s="1" t="s">
        <v>324</v>
      </c>
      <c r="F172" s="1">
        <v>26.06</v>
      </c>
      <c r="G172" s="1"/>
      <c r="H172" s="2">
        <f t="shared" si="2"/>
        <v>-26.06</v>
      </c>
      <c r="I172" s="16" t="str">
        <f>TEXT(Table3[[#This Row],[Date]],"mmm")</f>
        <v>Apr</v>
      </c>
    </row>
    <row r="173" spans="1:9" x14ac:dyDescent="0.3">
      <c r="A173" s="8" t="s">
        <v>114</v>
      </c>
      <c r="B173" s="1" t="s">
        <v>321</v>
      </c>
      <c r="C173" s="1" t="s">
        <v>9</v>
      </c>
      <c r="D173" s="1" t="s">
        <v>21</v>
      </c>
      <c r="E173" s="1" t="s">
        <v>324</v>
      </c>
      <c r="F173" s="1">
        <v>55.12</v>
      </c>
      <c r="G173" s="1"/>
      <c r="H173" s="2">
        <f t="shared" si="2"/>
        <v>-55.12</v>
      </c>
      <c r="I173" s="16" t="str">
        <f>TEXT(Table3[[#This Row],[Date]],"mmm")</f>
        <v>Apr</v>
      </c>
    </row>
    <row r="174" spans="1:9" x14ac:dyDescent="0.3">
      <c r="A174" s="8" t="s">
        <v>115</v>
      </c>
      <c r="B174" s="1" t="s">
        <v>321</v>
      </c>
      <c r="C174" s="1" t="s">
        <v>8</v>
      </c>
      <c r="D174" s="1" t="s">
        <v>28</v>
      </c>
      <c r="E174" s="1" t="s">
        <v>324</v>
      </c>
      <c r="F174" s="1">
        <v>37.08</v>
      </c>
      <c r="G174" s="1"/>
      <c r="H174" s="2">
        <f t="shared" si="2"/>
        <v>-37.08</v>
      </c>
      <c r="I174" s="16" t="str">
        <f>TEXT(Table3[[#This Row],[Date]],"mmm")</f>
        <v>Apr</v>
      </c>
    </row>
    <row r="175" spans="1:9" x14ac:dyDescent="0.3">
      <c r="A175" s="8" t="s">
        <v>115</v>
      </c>
      <c r="B175" s="1" t="s">
        <v>321</v>
      </c>
      <c r="C175" s="1" t="s">
        <v>8</v>
      </c>
      <c r="D175" s="1" t="s">
        <v>28</v>
      </c>
      <c r="E175" s="1" t="s">
        <v>324</v>
      </c>
      <c r="F175" s="1">
        <v>123.29</v>
      </c>
      <c r="G175" s="1"/>
      <c r="H175" s="2">
        <f t="shared" si="2"/>
        <v>-123.29</v>
      </c>
      <c r="I175" s="16" t="str">
        <f>TEXT(Table3[[#This Row],[Date]],"mmm")</f>
        <v>Apr</v>
      </c>
    </row>
    <row r="176" spans="1:9" x14ac:dyDescent="0.3">
      <c r="A176" s="8" t="s">
        <v>115</v>
      </c>
      <c r="B176" s="1" t="s">
        <v>321</v>
      </c>
      <c r="C176" s="1" t="s">
        <v>7</v>
      </c>
      <c r="D176" s="1" t="s">
        <v>23</v>
      </c>
      <c r="E176" s="1" t="s">
        <v>324</v>
      </c>
      <c r="F176" s="1">
        <v>205.23</v>
      </c>
      <c r="G176" s="1"/>
      <c r="H176" s="2">
        <f t="shared" si="2"/>
        <v>-205.23</v>
      </c>
      <c r="I176" s="16" t="str">
        <f>TEXT(Table3[[#This Row],[Date]],"mmm")</f>
        <v>Apr</v>
      </c>
    </row>
    <row r="177" spans="1:9" x14ac:dyDescent="0.3">
      <c r="A177" s="8" t="s">
        <v>116</v>
      </c>
      <c r="B177" s="1" t="s">
        <v>321</v>
      </c>
      <c r="C177" s="1" t="s">
        <v>9</v>
      </c>
      <c r="D177" s="1" t="s">
        <v>17</v>
      </c>
      <c r="E177" s="1" t="s">
        <v>324</v>
      </c>
      <c r="F177" s="1">
        <v>55.58</v>
      </c>
      <c r="G177" s="1"/>
      <c r="H177" s="2">
        <f t="shared" si="2"/>
        <v>-55.58</v>
      </c>
      <c r="I177" s="16" t="str">
        <f>TEXT(Table3[[#This Row],[Date]],"mmm")</f>
        <v>Apr</v>
      </c>
    </row>
    <row r="178" spans="1:9" x14ac:dyDescent="0.3">
      <c r="A178" s="8" t="s">
        <v>117</v>
      </c>
      <c r="B178" s="1" t="s">
        <v>321</v>
      </c>
      <c r="C178" s="1" t="s">
        <v>11</v>
      </c>
      <c r="D178" s="1" t="s">
        <v>25</v>
      </c>
      <c r="E178" s="1" t="s">
        <v>324</v>
      </c>
      <c r="F178" s="1">
        <v>91.86</v>
      </c>
      <c r="G178" s="1"/>
      <c r="H178" s="2">
        <f t="shared" si="2"/>
        <v>-91.86</v>
      </c>
      <c r="I178" s="16" t="str">
        <f>TEXT(Table3[[#This Row],[Date]],"mmm")</f>
        <v>Apr</v>
      </c>
    </row>
    <row r="179" spans="1:9" x14ac:dyDescent="0.3">
      <c r="A179" s="8" t="s">
        <v>117</v>
      </c>
      <c r="B179" s="1" t="s">
        <v>321</v>
      </c>
      <c r="C179" s="1" t="s">
        <v>8</v>
      </c>
      <c r="D179" s="1" t="s">
        <v>16</v>
      </c>
      <c r="E179" s="1" t="s">
        <v>324</v>
      </c>
      <c r="F179" s="1">
        <v>47.87</v>
      </c>
      <c r="G179" s="1"/>
      <c r="H179" s="2">
        <f t="shared" si="2"/>
        <v>-47.87</v>
      </c>
      <c r="I179" s="16" t="str">
        <f>TEXT(Table3[[#This Row],[Date]],"mmm")</f>
        <v>Apr</v>
      </c>
    </row>
    <row r="180" spans="1:9" x14ac:dyDescent="0.3">
      <c r="A180" s="8" t="s">
        <v>117</v>
      </c>
      <c r="B180" s="1" t="s">
        <v>321</v>
      </c>
      <c r="C180" s="1" t="s">
        <v>12</v>
      </c>
      <c r="D180" s="1" t="s">
        <v>29</v>
      </c>
      <c r="E180" s="1" t="s">
        <v>324</v>
      </c>
      <c r="F180" s="1">
        <v>7.15</v>
      </c>
      <c r="G180" s="1"/>
      <c r="H180" s="2">
        <f t="shared" si="2"/>
        <v>-7.15</v>
      </c>
      <c r="I180" s="16" t="str">
        <f>TEXT(Table3[[#This Row],[Date]],"mmm")</f>
        <v>Apr</v>
      </c>
    </row>
    <row r="181" spans="1:9" x14ac:dyDescent="0.3">
      <c r="A181" s="8" t="s">
        <v>118</v>
      </c>
      <c r="B181" s="1" t="s">
        <v>321</v>
      </c>
      <c r="C181" s="1" t="s">
        <v>10</v>
      </c>
      <c r="D181" s="1" t="s">
        <v>19</v>
      </c>
      <c r="E181" s="1" t="s">
        <v>324</v>
      </c>
      <c r="F181" s="1">
        <v>103.31</v>
      </c>
      <c r="G181" s="1"/>
      <c r="H181" s="2">
        <f t="shared" si="2"/>
        <v>-103.31</v>
      </c>
      <c r="I181" s="16" t="str">
        <f>TEXT(Table3[[#This Row],[Date]],"mmm")</f>
        <v>Apr</v>
      </c>
    </row>
    <row r="182" spans="1:9" x14ac:dyDescent="0.3">
      <c r="A182" s="8" t="s">
        <v>118</v>
      </c>
      <c r="B182" s="1" t="s">
        <v>320</v>
      </c>
      <c r="C182" s="1" t="s">
        <v>6</v>
      </c>
      <c r="D182" s="1" t="s">
        <v>14</v>
      </c>
      <c r="E182" s="1" t="s">
        <v>324</v>
      </c>
      <c r="F182" s="1">
        <v>131.57</v>
      </c>
      <c r="G182" s="1"/>
      <c r="H182" s="2">
        <f t="shared" si="2"/>
        <v>-131.57</v>
      </c>
      <c r="I182" s="16" t="str">
        <f>TEXT(Table3[[#This Row],[Date]],"mmm")</f>
        <v>Apr</v>
      </c>
    </row>
    <row r="183" spans="1:9" x14ac:dyDescent="0.3">
      <c r="A183" s="8" t="s">
        <v>119</v>
      </c>
      <c r="B183" s="1" t="s">
        <v>320</v>
      </c>
      <c r="C183" s="1" t="s">
        <v>6</v>
      </c>
      <c r="D183" s="1" t="s">
        <v>14</v>
      </c>
      <c r="E183" s="1" t="s">
        <v>324</v>
      </c>
      <c r="F183" s="1">
        <v>156.54</v>
      </c>
      <c r="G183" s="1"/>
      <c r="H183" s="2">
        <f t="shared" si="2"/>
        <v>-156.54</v>
      </c>
      <c r="I183" s="16" t="str">
        <f>TEXT(Table3[[#This Row],[Date]],"mmm")</f>
        <v>Apr</v>
      </c>
    </row>
    <row r="184" spans="1:9" x14ac:dyDescent="0.3">
      <c r="A184" s="8" t="s">
        <v>120</v>
      </c>
      <c r="B184" s="1" t="s">
        <v>320</v>
      </c>
      <c r="C184" s="1" t="s">
        <v>6</v>
      </c>
      <c r="D184" s="1" t="s">
        <v>14</v>
      </c>
      <c r="E184" s="1" t="s">
        <v>324</v>
      </c>
      <c r="F184" s="1">
        <v>163.35</v>
      </c>
      <c r="G184" s="1"/>
      <c r="H184" s="2">
        <f t="shared" si="2"/>
        <v>-163.35</v>
      </c>
      <c r="I184" s="16" t="str">
        <f>TEXT(Table3[[#This Row],[Date]],"mmm")</f>
        <v>Apr</v>
      </c>
    </row>
    <row r="185" spans="1:9" x14ac:dyDescent="0.3">
      <c r="A185" s="8" t="s">
        <v>120</v>
      </c>
      <c r="B185" s="1" t="s">
        <v>321</v>
      </c>
      <c r="C185" s="1" t="s">
        <v>9</v>
      </c>
      <c r="D185" s="1" t="s">
        <v>21</v>
      </c>
      <c r="E185" s="1" t="s">
        <v>324</v>
      </c>
      <c r="F185" s="1">
        <v>148.72</v>
      </c>
      <c r="G185" s="1"/>
      <c r="H185" s="2">
        <f t="shared" si="2"/>
        <v>-148.72</v>
      </c>
      <c r="I185" s="16" t="str">
        <f>TEXT(Table3[[#This Row],[Date]],"mmm")</f>
        <v>Apr</v>
      </c>
    </row>
    <row r="186" spans="1:9" x14ac:dyDescent="0.3">
      <c r="A186" s="8" t="s">
        <v>120</v>
      </c>
      <c r="B186" s="1" t="s">
        <v>321</v>
      </c>
      <c r="C186" s="1" t="s">
        <v>10</v>
      </c>
      <c r="D186" s="1" t="s">
        <v>19</v>
      </c>
      <c r="E186" s="1" t="s">
        <v>324</v>
      </c>
      <c r="F186" s="1">
        <v>97.04</v>
      </c>
      <c r="G186" s="1"/>
      <c r="H186" s="2">
        <f t="shared" si="2"/>
        <v>-97.04</v>
      </c>
      <c r="I186" s="16" t="str">
        <f>TEXT(Table3[[#This Row],[Date]],"mmm")</f>
        <v>Apr</v>
      </c>
    </row>
    <row r="187" spans="1:9" x14ac:dyDescent="0.3">
      <c r="A187" s="8" t="s">
        <v>120</v>
      </c>
      <c r="B187" s="1" t="s">
        <v>320</v>
      </c>
      <c r="C187" s="1" t="s">
        <v>11</v>
      </c>
      <c r="D187" s="1" t="s">
        <v>25</v>
      </c>
      <c r="E187" s="1" t="s">
        <v>324</v>
      </c>
      <c r="F187" s="1">
        <v>20.99</v>
      </c>
      <c r="G187" s="1"/>
      <c r="H187" s="2">
        <f t="shared" si="2"/>
        <v>-20.99</v>
      </c>
      <c r="I187" s="16" t="str">
        <f>TEXT(Table3[[#This Row],[Date]],"mmm")</f>
        <v>Apr</v>
      </c>
    </row>
    <row r="188" spans="1:9" x14ac:dyDescent="0.3">
      <c r="A188" s="8" t="s">
        <v>121</v>
      </c>
      <c r="B188" s="1" t="s">
        <v>320</v>
      </c>
      <c r="C188" s="1" t="s">
        <v>11</v>
      </c>
      <c r="D188" s="1" t="s">
        <v>27</v>
      </c>
      <c r="E188" s="1" t="s">
        <v>324</v>
      </c>
      <c r="F188" s="1">
        <v>97.66</v>
      </c>
      <c r="G188" s="1"/>
      <c r="H188" s="2">
        <f t="shared" si="2"/>
        <v>-97.66</v>
      </c>
      <c r="I188" s="16" t="str">
        <f>TEXT(Table3[[#This Row],[Date]],"mmm")</f>
        <v>Apr</v>
      </c>
    </row>
    <row r="189" spans="1:9" x14ac:dyDescent="0.3">
      <c r="A189" s="8" t="s">
        <v>122</v>
      </c>
      <c r="B189" s="1" t="s">
        <v>321</v>
      </c>
      <c r="C189" s="1" t="s">
        <v>9</v>
      </c>
      <c r="D189" s="1" t="s">
        <v>17</v>
      </c>
      <c r="E189" s="1" t="s">
        <v>324</v>
      </c>
      <c r="F189" s="1">
        <v>214.52</v>
      </c>
      <c r="G189" s="1"/>
      <c r="H189" s="2">
        <f t="shared" si="2"/>
        <v>-214.52</v>
      </c>
      <c r="I189" s="16" t="str">
        <f>TEXT(Table3[[#This Row],[Date]],"mmm")</f>
        <v>Apr</v>
      </c>
    </row>
    <row r="190" spans="1:9" x14ac:dyDescent="0.3">
      <c r="A190" s="8" t="s">
        <v>123</v>
      </c>
      <c r="B190" s="1" t="s">
        <v>322</v>
      </c>
      <c r="C190" s="1" t="s">
        <v>12</v>
      </c>
      <c r="D190" s="1" t="s">
        <v>29</v>
      </c>
      <c r="E190" s="1" t="s">
        <v>324</v>
      </c>
      <c r="F190" s="1">
        <v>129.08000000000001</v>
      </c>
      <c r="G190" s="1"/>
      <c r="H190" s="2">
        <f t="shared" si="2"/>
        <v>-129.08000000000001</v>
      </c>
      <c r="I190" s="16" t="str">
        <f>TEXT(Table3[[#This Row],[Date]],"mmm")</f>
        <v>Apr</v>
      </c>
    </row>
    <row r="191" spans="1:9" x14ac:dyDescent="0.3">
      <c r="A191" s="8" t="s">
        <v>123</v>
      </c>
      <c r="B191" s="1" t="s">
        <v>320</v>
      </c>
      <c r="C191" s="1" t="s">
        <v>9</v>
      </c>
      <c r="D191" s="1" t="s">
        <v>17</v>
      </c>
      <c r="E191" s="1" t="s">
        <v>324</v>
      </c>
      <c r="F191" s="1">
        <v>70.7</v>
      </c>
      <c r="G191" s="1"/>
      <c r="H191" s="2">
        <f t="shared" si="2"/>
        <v>-70.7</v>
      </c>
      <c r="I191" s="16" t="str">
        <f>TEXT(Table3[[#This Row],[Date]],"mmm")</f>
        <v>Apr</v>
      </c>
    </row>
    <row r="192" spans="1:9" x14ac:dyDescent="0.3">
      <c r="A192" s="8" t="s">
        <v>123</v>
      </c>
      <c r="B192" s="1" t="s">
        <v>321</v>
      </c>
      <c r="C192" s="1" t="s">
        <v>9</v>
      </c>
      <c r="D192" s="1" t="s">
        <v>21</v>
      </c>
      <c r="E192" s="1" t="s">
        <v>324</v>
      </c>
      <c r="F192" s="1">
        <v>52.08</v>
      </c>
      <c r="G192" s="1"/>
      <c r="H192" s="2">
        <f t="shared" si="2"/>
        <v>-52.08</v>
      </c>
      <c r="I192" s="16" t="str">
        <f>TEXT(Table3[[#This Row],[Date]],"mmm")</f>
        <v>Apr</v>
      </c>
    </row>
    <row r="193" spans="1:9" x14ac:dyDescent="0.3">
      <c r="A193" s="8" t="s">
        <v>123</v>
      </c>
      <c r="B193" s="1" t="s">
        <v>320</v>
      </c>
      <c r="C193" s="1" t="s">
        <v>8</v>
      </c>
      <c r="D193" s="1" t="s">
        <v>28</v>
      </c>
      <c r="E193" s="1" t="s">
        <v>324</v>
      </c>
      <c r="F193" s="1">
        <v>49.07</v>
      </c>
      <c r="G193" s="1"/>
      <c r="H193" s="2">
        <f t="shared" si="2"/>
        <v>-49.07</v>
      </c>
      <c r="I193" s="16" t="str">
        <f>TEXT(Table3[[#This Row],[Date]],"mmm")</f>
        <v>Apr</v>
      </c>
    </row>
    <row r="194" spans="1:9" x14ac:dyDescent="0.3">
      <c r="A194" s="8" t="s">
        <v>124</v>
      </c>
      <c r="B194" s="1" t="s">
        <v>321</v>
      </c>
      <c r="C194" s="1" t="s">
        <v>11</v>
      </c>
      <c r="D194" s="1" t="s">
        <v>20</v>
      </c>
      <c r="E194" s="1" t="s">
        <v>324</v>
      </c>
      <c r="F194" s="1">
        <v>9.41</v>
      </c>
      <c r="G194" s="1"/>
      <c r="H194" s="2">
        <f t="shared" si="2"/>
        <v>-9.41</v>
      </c>
      <c r="I194" s="16" t="str">
        <f>TEXT(Table3[[#This Row],[Date]],"mmm")</f>
        <v>Apr</v>
      </c>
    </row>
    <row r="195" spans="1:9" x14ac:dyDescent="0.3">
      <c r="A195" s="8" t="s">
        <v>125</v>
      </c>
      <c r="B195" s="1" t="s">
        <v>321</v>
      </c>
      <c r="C195" s="1" t="s">
        <v>6</v>
      </c>
      <c r="D195" s="1" t="s">
        <v>18</v>
      </c>
      <c r="E195" s="1" t="s">
        <v>324</v>
      </c>
      <c r="F195" s="1">
        <v>135.77000000000001</v>
      </c>
      <c r="G195" s="1"/>
      <c r="H195" s="2">
        <f t="shared" ref="H195:H258" si="3">F195*-1</f>
        <v>-135.77000000000001</v>
      </c>
      <c r="I195" s="16" t="str">
        <f>TEXT(Table3[[#This Row],[Date]],"mmm")</f>
        <v>Apr</v>
      </c>
    </row>
    <row r="196" spans="1:9" x14ac:dyDescent="0.3">
      <c r="A196" s="8" t="s">
        <v>125</v>
      </c>
      <c r="B196" s="1" t="s">
        <v>320</v>
      </c>
      <c r="C196" s="1" t="s">
        <v>9</v>
      </c>
      <c r="D196" s="1" t="s">
        <v>21</v>
      </c>
      <c r="E196" s="1" t="s">
        <v>324</v>
      </c>
      <c r="F196" s="1">
        <v>166.29</v>
      </c>
      <c r="G196" s="1"/>
      <c r="H196" s="2">
        <f t="shared" si="3"/>
        <v>-166.29</v>
      </c>
      <c r="I196" s="16" t="str">
        <f>TEXT(Table3[[#This Row],[Date]],"mmm")</f>
        <v>Apr</v>
      </c>
    </row>
    <row r="197" spans="1:9" x14ac:dyDescent="0.3">
      <c r="A197" s="8" t="s">
        <v>125</v>
      </c>
      <c r="B197" s="1" t="s">
        <v>321</v>
      </c>
      <c r="C197" s="1" t="s">
        <v>11</v>
      </c>
      <c r="D197" s="1" t="s">
        <v>25</v>
      </c>
      <c r="E197" s="1" t="s">
        <v>324</v>
      </c>
      <c r="F197" s="1">
        <v>227.68</v>
      </c>
      <c r="G197" s="1"/>
      <c r="H197" s="2">
        <f t="shared" si="3"/>
        <v>-227.68</v>
      </c>
      <c r="I197" s="16" t="str">
        <f>TEXT(Table3[[#This Row],[Date]],"mmm")</f>
        <v>Apr</v>
      </c>
    </row>
    <row r="198" spans="1:9" x14ac:dyDescent="0.3">
      <c r="A198" s="8" t="s">
        <v>125</v>
      </c>
      <c r="B198" s="1" t="s">
        <v>320</v>
      </c>
      <c r="C198" s="1" t="s">
        <v>8</v>
      </c>
      <c r="D198" s="1" t="s">
        <v>26</v>
      </c>
      <c r="E198" s="1" t="s">
        <v>324</v>
      </c>
      <c r="F198" s="1">
        <v>115.9</v>
      </c>
      <c r="G198" s="1"/>
      <c r="H198" s="2">
        <f t="shared" si="3"/>
        <v>-115.9</v>
      </c>
      <c r="I198" s="16" t="str">
        <f>TEXT(Table3[[#This Row],[Date]],"mmm")</f>
        <v>Apr</v>
      </c>
    </row>
    <row r="199" spans="1:9" x14ac:dyDescent="0.3">
      <c r="A199" s="8" t="s">
        <v>126</v>
      </c>
      <c r="B199" s="1" t="s">
        <v>321</v>
      </c>
      <c r="C199" s="1" t="s">
        <v>10</v>
      </c>
      <c r="D199" s="1" t="s">
        <v>19</v>
      </c>
      <c r="E199" s="1" t="s">
        <v>324</v>
      </c>
      <c r="F199" s="1">
        <v>221.72</v>
      </c>
      <c r="G199" s="1"/>
      <c r="H199" s="2">
        <f t="shared" si="3"/>
        <v>-221.72</v>
      </c>
      <c r="I199" s="16" t="str">
        <f>TEXT(Table3[[#This Row],[Date]],"mmm")</f>
        <v>Apr</v>
      </c>
    </row>
    <row r="200" spans="1:9" x14ac:dyDescent="0.3">
      <c r="A200" s="8" t="s">
        <v>127</v>
      </c>
      <c r="B200" s="1" t="s">
        <v>321</v>
      </c>
      <c r="C200" s="1" t="s">
        <v>8</v>
      </c>
      <c r="D200" s="1" t="s">
        <v>16</v>
      </c>
      <c r="E200" s="1" t="s">
        <v>324</v>
      </c>
      <c r="F200" s="1">
        <v>65.599999999999994</v>
      </c>
      <c r="G200" s="1"/>
      <c r="H200" s="2">
        <f t="shared" si="3"/>
        <v>-65.599999999999994</v>
      </c>
      <c r="I200" s="16" t="str">
        <f>TEXT(Table3[[#This Row],[Date]],"mmm")</f>
        <v>Apr</v>
      </c>
    </row>
    <row r="201" spans="1:9" x14ac:dyDescent="0.3">
      <c r="A201" s="8" t="s">
        <v>127</v>
      </c>
      <c r="B201" s="1" t="s">
        <v>321</v>
      </c>
      <c r="C201" s="1" t="s">
        <v>6</v>
      </c>
      <c r="D201" s="1" t="s">
        <v>14</v>
      </c>
      <c r="E201" s="1" t="s">
        <v>324</v>
      </c>
      <c r="F201" s="1">
        <v>152.27000000000001</v>
      </c>
      <c r="G201" s="1"/>
      <c r="H201" s="2">
        <f t="shared" si="3"/>
        <v>-152.27000000000001</v>
      </c>
      <c r="I201" s="16" t="str">
        <f>TEXT(Table3[[#This Row],[Date]],"mmm")</f>
        <v>Apr</v>
      </c>
    </row>
    <row r="202" spans="1:9" x14ac:dyDescent="0.3">
      <c r="A202" s="8" t="s">
        <v>127</v>
      </c>
      <c r="B202" s="1" t="s">
        <v>321</v>
      </c>
      <c r="C202" s="1" t="s">
        <v>12</v>
      </c>
      <c r="D202" s="1" t="s">
        <v>24</v>
      </c>
      <c r="E202" s="1" t="s">
        <v>324</v>
      </c>
      <c r="F202" s="1">
        <v>157.47</v>
      </c>
      <c r="G202" s="1"/>
      <c r="H202" s="2">
        <f t="shared" si="3"/>
        <v>-157.47</v>
      </c>
      <c r="I202" s="16" t="str">
        <f>TEXT(Table3[[#This Row],[Date]],"mmm")</f>
        <v>Apr</v>
      </c>
    </row>
    <row r="203" spans="1:9" x14ac:dyDescent="0.3">
      <c r="A203" s="8" t="s">
        <v>127</v>
      </c>
      <c r="B203" s="1" t="s">
        <v>321</v>
      </c>
      <c r="C203" s="1" t="s">
        <v>9</v>
      </c>
      <c r="D203" s="1" t="s">
        <v>17</v>
      </c>
      <c r="E203" s="1" t="s">
        <v>324</v>
      </c>
      <c r="F203" s="1">
        <v>125.86</v>
      </c>
      <c r="G203" s="1"/>
      <c r="H203" s="2">
        <f t="shared" si="3"/>
        <v>-125.86</v>
      </c>
      <c r="I203" s="16" t="str">
        <f>TEXT(Table3[[#This Row],[Date]],"mmm")</f>
        <v>Apr</v>
      </c>
    </row>
    <row r="204" spans="1:9" x14ac:dyDescent="0.3">
      <c r="A204" s="8" t="s">
        <v>128</v>
      </c>
      <c r="B204" s="1" t="s">
        <v>320</v>
      </c>
      <c r="C204" s="1" t="s">
        <v>13</v>
      </c>
      <c r="D204" s="1" t="s">
        <v>30</v>
      </c>
      <c r="E204" s="1" t="s">
        <v>13</v>
      </c>
      <c r="F204" s="1"/>
      <c r="G204" s="1">
        <v>7461</v>
      </c>
      <c r="H204" s="2">
        <v>7461</v>
      </c>
      <c r="I204" s="16" t="str">
        <f>TEXT(Table3[[#This Row],[Date]],"mmm")</f>
        <v>Apr</v>
      </c>
    </row>
    <row r="205" spans="1:9" x14ac:dyDescent="0.3">
      <c r="A205" s="8" t="s">
        <v>128</v>
      </c>
      <c r="B205" s="1" t="s">
        <v>320</v>
      </c>
      <c r="C205" s="1" t="s">
        <v>7</v>
      </c>
      <c r="D205" s="1" t="s">
        <v>15</v>
      </c>
      <c r="E205" s="1" t="s">
        <v>324</v>
      </c>
      <c r="F205" s="1">
        <v>15.93</v>
      </c>
      <c r="G205" s="1"/>
      <c r="H205" s="2">
        <f t="shared" si="3"/>
        <v>-15.93</v>
      </c>
      <c r="I205" s="16" t="str">
        <f>TEXT(Table3[[#This Row],[Date]],"mmm")</f>
        <v>Apr</v>
      </c>
    </row>
    <row r="206" spans="1:9" x14ac:dyDescent="0.3">
      <c r="A206" s="8" t="s">
        <v>129</v>
      </c>
      <c r="B206" s="1" t="s">
        <v>321</v>
      </c>
      <c r="C206" s="1" t="s">
        <v>8</v>
      </c>
      <c r="D206" s="1" t="s">
        <v>28</v>
      </c>
      <c r="E206" s="1" t="s">
        <v>324</v>
      </c>
      <c r="F206" s="1">
        <v>108.11</v>
      </c>
      <c r="G206" s="1"/>
      <c r="H206" s="2">
        <f t="shared" si="3"/>
        <v>-108.11</v>
      </c>
      <c r="I206" s="16" t="str">
        <f>TEXT(Table3[[#This Row],[Date]],"mmm")</f>
        <v>May</v>
      </c>
    </row>
    <row r="207" spans="1:9" x14ac:dyDescent="0.3">
      <c r="A207" s="8" t="s">
        <v>129</v>
      </c>
      <c r="B207" s="1" t="s">
        <v>320</v>
      </c>
      <c r="C207" s="1" t="s">
        <v>8</v>
      </c>
      <c r="D207" s="1" t="s">
        <v>28</v>
      </c>
      <c r="E207" s="1" t="s">
        <v>324</v>
      </c>
      <c r="F207" s="1">
        <v>130.1</v>
      </c>
      <c r="G207" s="1"/>
      <c r="H207" s="2">
        <f t="shared" si="3"/>
        <v>-130.1</v>
      </c>
      <c r="I207" s="16" t="str">
        <f>TEXT(Table3[[#This Row],[Date]],"mmm")</f>
        <v>May</v>
      </c>
    </row>
    <row r="208" spans="1:9" x14ac:dyDescent="0.3">
      <c r="A208" s="8" t="s">
        <v>130</v>
      </c>
      <c r="B208" s="1" t="s">
        <v>320</v>
      </c>
      <c r="C208" s="1" t="s">
        <v>9</v>
      </c>
      <c r="D208" s="1" t="s">
        <v>21</v>
      </c>
      <c r="E208" s="1" t="s">
        <v>324</v>
      </c>
      <c r="F208" s="1">
        <v>142.13999999999999</v>
      </c>
      <c r="G208" s="1"/>
      <c r="H208" s="2">
        <f t="shared" si="3"/>
        <v>-142.13999999999999</v>
      </c>
      <c r="I208" s="16" t="str">
        <f>TEXT(Table3[[#This Row],[Date]],"mmm")</f>
        <v>May</v>
      </c>
    </row>
    <row r="209" spans="1:9" x14ac:dyDescent="0.3">
      <c r="A209" s="8" t="s">
        <v>130</v>
      </c>
      <c r="B209" s="1" t="s">
        <v>321</v>
      </c>
      <c r="C209" s="1" t="s">
        <v>10</v>
      </c>
      <c r="D209" s="1" t="s">
        <v>22</v>
      </c>
      <c r="E209" s="1" t="s">
        <v>324</v>
      </c>
      <c r="F209" s="1">
        <v>24.84</v>
      </c>
      <c r="G209" s="1"/>
      <c r="H209" s="2">
        <f t="shared" si="3"/>
        <v>-24.84</v>
      </c>
      <c r="I209" s="16" t="str">
        <f>TEXT(Table3[[#This Row],[Date]],"mmm")</f>
        <v>May</v>
      </c>
    </row>
    <row r="210" spans="1:9" x14ac:dyDescent="0.3">
      <c r="A210" s="8" t="s">
        <v>130</v>
      </c>
      <c r="B210" s="1" t="s">
        <v>321</v>
      </c>
      <c r="C210" s="1" t="s">
        <v>10</v>
      </c>
      <c r="D210" s="1" t="s">
        <v>22</v>
      </c>
      <c r="E210" s="1" t="s">
        <v>324</v>
      </c>
      <c r="F210" s="1">
        <v>33.119999999999997</v>
      </c>
      <c r="G210" s="1"/>
      <c r="H210" s="2">
        <f t="shared" si="3"/>
        <v>-33.119999999999997</v>
      </c>
      <c r="I210" s="16" t="str">
        <f>TEXT(Table3[[#This Row],[Date]],"mmm")</f>
        <v>May</v>
      </c>
    </row>
    <row r="211" spans="1:9" x14ac:dyDescent="0.3">
      <c r="A211" s="8" t="s">
        <v>131</v>
      </c>
      <c r="B211" s="1" t="s">
        <v>320</v>
      </c>
      <c r="C211" s="1" t="s">
        <v>7</v>
      </c>
      <c r="D211" s="1" t="s">
        <v>15</v>
      </c>
      <c r="E211" s="1" t="s">
        <v>324</v>
      </c>
      <c r="F211" s="1">
        <v>232.83</v>
      </c>
      <c r="G211" s="1"/>
      <c r="H211" s="2">
        <f t="shared" si="3"/>
        <v>-232.83</v>
      </c>
      <c r="I211" s="16" t="str">
        <f>TEXT(Table3[[#This Row],[Date]],"mmm")</f>
        <v>May</v>
      </c>
    </row>
    <row r="212" spans="1:9" x14ac:dyDescent="0.3">
      <c r="A212" s="8" t="s">
        <v>131</v>
      </c>
      <c r="B212" s="1" t="s">
        <v>320</v>
      </c>
      <c r="C212" s="1" t="s">
        <v>11</v>
      </c>
      <c r="D212" s="1" t="s">
        <v>20</v>
      </c>
      <c r="E212" s="1" t="s">
        <v>324</v>
      </c>
      <c r="F212" s="1">
        <v>113.79</v>
      </c>
      <c r="G212" s="1"/>
      <c r="H212" s="2">
        <f t="shared" si="3"/>
        <v>-113.79</v>
      </c>
      <c r="I212" s="16" t="str">
        <f>TEXT(Table3[[#This Row],[Date]],"mmm")</f>
        <v>May</v>
      </c>
    </row>
    <row r="213" spans="1:9" x14ac:dyDescent="0.3">
      <c r="A213" s="8" t="s">
        <v>131</v>
      </c>
      <c r="B213" s="1" t="s">
        <v>320</v>
      </c>
      <c r="C213" s="1" t="s">
        <v>8</v>
      </c>
      <c r="D213" s="1" t="s">
        <v>26</v>
      </c>
      <c r="E213" s="1" t="s">
        <v>324</v>
      </c>
      <c r="F213" s="1">
        <v>208.04</v>
      </c>
      <c r="G213" s="1"/>
      <c r="H213" s="2">
        <f t="shared" si="3"/>
        <v>-208.04</v>
      </c>
      <c r="I213" s="16" t="str">
        <f>TEXT(Table3[[#This Row],[Date]],"mmm")</f>
        <v>May</v>
      </c>
    </row>
    <row r="214" spans="1:9" x14ac:dyDescent="0.3">
      <c r="A214" s="8" t="s">
        <v>132</v>
      </c>
      <c r="B214" s="1" t="s">
        <v>322</v>
      </c>
      <c r="C214" s="1" t="s">
        <v>12</v>
      </c>
      <c r="D214" s="1" t="s">
        <v>29</v>
      </c>
      <c r="E214" s="1" t="s">
        <v>324</v>
      </c>
      <c r="F214" s="1">
        <v>67.05</v>
      </c>
      <c r="G214" s="1"/>
      <c r="H214" s="2">
        <f t="shared" si="3"/>
        <v>-67.05</v>
      </c>
      <c r="I214" s="16" t="str">
        <f>TEXT(Table3[[#This Row],[Date]],"mmm")</f>
        <v>May</v>
      </c>
    </row>
    <row r="215" spans="1:9" x14ac:dyDescent="0.3">
      <c r="A215" s="8" t="s">
        <v>133</v>
      </c>
      <c r="B215" s="1" t="s">
        <v>320</v>
      </c>
      <c r="C215" s="1" t="s">
        <v>11</v>
      </c>
      <c r="D215" s="1" t="s">
        <v>20</v>
      </c>
      <c r="E215" s="1" t="s">
        <v>324</v>
      </c>
      <c r="F215" s="1">
        <v>197.33</v>
      </c>
      <c r="G215" s="1"/>
      <c r="H215" s="2">
        <f t="shared" si="3"/>
        <v>-197.33</v>
      </c>
      <c r="I215" s="16" t="str">
        <f>TEXT(Table3[[#This Row],[Date]],"mmm")</f>
        <v>May</v>
      </c>
    </row>
    <row r="216" spans="1:9" x14ac:dyDescent="0.3">
      <c r="A216" s="8" t="s">
        <v>133</v>
      </c>
      <c r="B216" s="1" t="s">
        <v>321</v>
      </c>
      <c r="C216" s="1" t="s">
        <v>9</v>
      </c>
      <c r="D216" s="1" t="s">
        <v>21</v>
      </c>
      <c r="E216" s="1" t="s">
        <v>324</v>
      </c>
      <c r="F216" s="1">
        <v>23.56</v>
      </c>
      <c r="G216" s="1"/>
      <c r="H216" s="2">
        <f t="shared" si="3"/>
        <v>-23.56</v>
      </c>
      <c r="I216" s="16" t="str">
        <f>TEXT(Table3[[#This Row],[Date]],"mmm")</f>
        <v>May</v>
      </c>
    </row>
    <row r="217" spans="1:9" x14ac:dyDescent="0.3">
      <c r="A217" s="8" t="s">
        <v>134</v>
      </c>
      <c r="B217" s="1" t="s">
        <v>321</v>
      </c>
      <c r="C217" s="1" t="s">
        <v>11</v>
      </c>
      <c r="D217" s="1" t="s">
        <v>25</v>
      </c>
      <c r="E217" s="1" t="s">
        <v>324</v>
      </c>
      <c r="F217" s="1">
        <v>25.64</v>
      </c>
      <c r="G217" s="1"/>
      <c r="H217" s="2">
        <f t="shared" si="3"/>
        <v>-25.64</v>
      </c>
      <c r="I217" s="16" t="str">
        <f>TEXT(Table3[[#This Row],[Date]],"mmm")</f>
        <v>May</v>
      </c>
    </row>
    <row r="218" spans="1:9" x14ac:dyDescent="0.3">
      <c r="A218" s="8" t="s">
        <v>134</v>
      </c>
      <c r="B218" s="1" t="s">
        <v>321</v>
      </c>
      <c r="C218" s="1" t="s">
        <v>11</v>
      </c>
      <c r="D218" s="1" t="s">
        <v>20</v>
      </c>
      <c r="E218" s="1" t="s">
        <v>324</v>
      </c>
      <c r="F218" s="1">
        <v>228.15</v>
      </c>
      <c r="G218" s="1"/>
      <c r="H218" s="2">
        <f t="shared" si="3"/>
        <v>-228.15</v>
      </c>
      <c r="I218" s="16" t="str">
        <f>TEXT(Table3[[#This Row],[Date]],"mmm")</f>
        <v>May</v>
      </c>
    </row>
    <row r="219" spans="1:9" x14ac:dyDescent="0.3">
      <c r="A219" s="8" t="s">
        <v>134</v>
      </c>
      <c r="B219" s="1" t="s">
        <v>321</v>
      </c>
      <c r="C219" s="1" t="s">
        <v>12</v>
      </c>
      <c r="D219" s="1" t="s">
        <v>24</v>
      </c>
      <c r="E219" s="1" t="s">
        <v>324</v>
      </c>
      <c r="F219" s="1">
        <v>160.52000000000001</v>
      </c>
      <c r="G219" s="1"/>
      <c r="H219" s="2">
        <f t="shared" si="3"/>
        <v>-160.52000000000001</v>
      </c>
      <c r="I219" s="16" t="str">
        <f>TEXT(Table3[[#This Row],[Date]],"mmm")</f>
        <v>May</v>
      </c>
    </row>
    <row r="220" spans="1:9" x14ac:dyDescent="0.3">
      <c r="A220" s="8" t="s">
        <v>134</v>
      </c>
      <c r="B220" s="1" t="s">
        <v>320</v>
      </c>
      <c r="C220" s="1" t="s">
        <v>6</v>
      </c>
      <c r="D220" s="1" t="s">
        <v>18</v>
      </c>
      <c r="E220" s="1" t="s">
        <v>324</v>
      </c>
      <c r="F220" s="1">
        <v>128.01</v>
      </c>
      <c r="G220" s="1"/>
      <c r="H220" s="2">
        <f t="shared" si="3"/>
        <v>-128.01</v>
      </c>
      <c r="I220" s="16" t="str">
        <f>TEXT(Table3[[#This Row],[Date]],"mmm")</f>
        <v>May</v>
      </c>
    </row>
    <row r="221" spans="1:9" x14ac:dyDescent="0.3">
      <c r="A221" s="8" t="s">
        <v>135</v>
      </c>
      <c r="B221" s="1" t="s">
        <v>321</v>
      </c>
      <c r="C221" s="1" t="s">
        <v>7</v>
      </c>
      <c r="D221" s="1" t="s">
        <v>15</v>
      </c>
      <c r="E221" s="1" t="s">
        <v>324</v>
      </c>
      <c r="F221" s="1">
        <v>18.48</v>
      </c>
      <c r="G221" s="1"/>
      <c r="H221" s="2">
        <f t="shared" si="3"/>
        <v>-18.48</v>
      </c>
      <c r="I221" s="16" t="str">
        <f>TEXT(Table3[[#This Row],[Date]],"mmm")</f>
        <v>May</v>
      </c>
    </row>
    <row r="222" spans="1:9" x14ac:dyDescent="0.3">
      <c r="A222" s="8" t="s">
        <v>135</v>
      </c>
      <c r="B222" s="1" t="s">
        <v>321</v>
      </c>
      <c r="C222" s="1" t="s">
        <v>10</v>
      </c>
      <c r="D222" s="1" t="s">
        <v>19</v>
      </c>
      <c r="E222" s="1" t="s">
        <v>324</v>
      </c>
      <c r="F222" s="1">
        <v>228.18</v>
      </c>
      <c r="G222" s="1"/>
      <c r="H222" s="2">
        <f t="shared" si="3"/>
        <v>-228.18</v>
      </c>
      <c r="I222" s="16" t="str">
        <f>TEXT(Table3[[#This Row],[Date]],"mmm")</f>
        <v>May</v>
      </c>
    </row>
    <row r="223" spans="1:9" x14ac:dyDescent="0.3">
      <c r="A223" s="8" t="s">
        <v>136</v>
      </c>
      <c r="B223" s="1" t="s">
        <v>321</v>
      </c>
      <c r="C223" s="1" t="s">
        <v>11</v>
      </c>
      <c r="D223" s="1" t="s">
        <v>20</v>
      </c>
      <c r="E223" s="1" t="s">
        <v>324</v>
      </c>
      <c r="F223" s="1">
        <v>63.8</v>
      </c>
      <c r="G223" s="1"/>
      <c r="H223" s="2">
        <f t="shared" si="3"/>
        <v>-63.8</v>
      </c>
      <c r="I223" s="16" t="str">
        <f>TEXT(Table3[[#This Row],[Date]],"mmm")</f>
        <v>May</v>
      </c>
    </row>
    <row r="224" spans="1:9" x14ac:dyDescent="0.3">
      <c r="A224" s="8" t="s">
        <v>136</v>
      </c>
      <c r="B224" s="1" t="s">
        <v>320</v>
      </c>
      <c r="C224" s="1" t="s">
        <v>11</v>
      </c>
      <c r="D224" s="1" t="s">
        <v>25</v>
      </c>
      <c r="E224" s="1" t="s">
        <v>324</v>
      </c>
      <c r="F224" s="1">
        <v>50.99</v>
      </c>
      <c r="G224" s="1"/>
      <c r="H224" s="2">
        <f t="shared" si="3"/>
        <v>-50.99</v>
      </c>
      <c r="I224" s="16" t="str">
        <f>TEXT(Table3[[#This Row],[Date]],"mmm")</f>
        <v>May</v>
      </c>
    </row>
    <row r="225" spans="1:9" x14ac:dyDescent="0.3">
      <c r="A225" s="8" t="s">
        <v>136</v>
      </c>
      <c r="B225" s="1" t="s">
        <v>320</v>
      </c>
      <c r="C225" s="1" t="s">
        <v>8</v>
      </c>
      <c r="D225" s="1" t="s">
        <v>28</v>
      </c>
      <c r="E225" s="1" t="s">
        <v>324</v>
      </c>
      <c r="F225" s="1">
        <v>178.21</v>
      </c>
      <c r="G225" s="1"/>
      <c r="H225" s="2">
        <f t="shared" si="3"/>
        <v>-178.21</v>
      </c>
      <c r="I225" s="16" t="str">
        <f>TEXT(Table3[[#This Row],[Date]],"mmm")</f>
        <v>May</v>
      </c>
    </row>
    <row r="226" spans="1:9" x14ac:dyDescent="0.3">
      <c r="A226" s="8" t="s">
        <v>136</v>
      </c>
      <c r="B226" s="1" t="s">
        <v>321</v>
      </c>
      <c r="C226" s="1" t="s">
        <v>7</v>
      </c>
      <c r="D226" s="1" t="s">
        <v>15</v>
      </c>
      <c r="E226" s="1" t="s">
        <v>324</v>
      </c>
      <c r="F226" s="1">
        <v>193.61</v>
      </c>
      <c r="G226" s="1"/>
      <c r="H226" s="2">
        <f t="shared" si="3"/>
        <v>-193.61</v>
      </c>
      <c r="I226" s="16" t="str">
        <f>TEXT(Table3[[#This Row],[Date]],"mmm")</f>
        <v>May</v>
      </c>
    </row>
    <row r="227" spans="1:9" x14ac:dyDescent="0.3">
      <c r="A227" s="8" t="s">
        <v>137</v>
      </c>
      <c r="B227" s="1" t="s">
        <v>321</v>
      </c>
      <c r="C227" s="1" t="s">
        <v>8</v>
      </c>
      <c r="D227" s="1" t="s">
        <v>16</v>
      </c>
      <c r="E227" s="1" t="s">
        <v>324</v>
      </c>
      <c r="F227" s="1">
        <v>71.87</v>
      </c>
      <c r="G227" s="1"/>
      <c r="H227" s="2">
        <f t="shared" si="3"/>
        <v>-71.87</v>
      </c>
      <c r="I227" s="16" t="str">
        <f>TEXT(Table3[[#This Row],[Date]],"mmm")</f>
        <v>May</v>
      </c>
    </row>
    <row r="228" spans="1:9" x14ac:dyDescent="0.3">
      <c r="A228" s="8" t="s">
        <v>138</v>
      </c>
      <c r="B228" s="1" t="s">
        <v>322</v>
      </c>
      <c r="C228" s="1" t="s">
        <v>12</v>
      </c>
      <c r="D228" s="1" t="s">
        <v>29</v>
      </c>
      <c r="E228" s="1" t="s">
        <v>324</v>
      </c>
      <c r="F228" s="1">
        <v>169</v>
      </c>
      <c r="G228" s="1"/>
      <c r="H228" s="2">
        <f t="shared" si="3"/>
        <v>-169</v>
      </c>
      <c r="I228" s="16" t="str">
        <f>TEXT(Table3[[#This Row],[Date]],"mmm")</f>
        <v>May</v>
      </c>
    </row>
    <row r="229" spans="1:9" x14ac:dyDescent="0.3">
      <c r="A229" s="8" t="s">
        <v>138</v>
      </c>
      <c r="B229" s="1" t="s">
        <v>321</v>
      </c>
      <c r="C229" s="1" t="s">
        <v>8</v>
      </c>
      <c r="D229" s="1" t="s">
        <v>16</v>
      </c>
      <c r="E229" s="1" t="s">
        <v>324</v>
      </c>
      <c r="F229" s="1">
        <v>65.03</v>
      </c>
      <c r="G229" s="1"/>
      <c r="H229" s="2">
        <f t="shared" si="3"/>
        <v>-65.03</v>
      </c>
      <c r="I229" s="16" t="str">
        <f>TEXT(Table3[[#This Row],[Date]],"mmm")</f>
        <v>May</v>
      </c>
    </row>
    <row r="230" spans="1:9" x14ac:dyDescent="0.3">
      <c r="A230" s="8" t="s">
        <v>139</v>
      </c>
      <c r="B230" s="1" t="s">
        <v>321</v>
      </c>
      <c r="C230" s="1" t="s">
        <v>6</v>
      </c>
      <c r="D230" s="1" t="s">
        <v>14</v>
      </c>
      <c r="E230" s="1" t="s">
        <v>324</v>
      </c>
      <c r="F230" s="1">
        <v>63.69</v>
      </c>
      <c r="G230" s="1"/>
      <c r="H230" s="2">
        <f t="shared" si="3"/>
        <v>-63.69</v>
      </c>
      <c r="I230" s="16" t="str">
        <f>TEXT(Table3[[#This Row],[Date]],"mmm")</f>
        <v>May</v>
      </c>
    </row>
    <row r="231" spans="1:9" x14ac:dyDescent="0.3">
      <c r="A231" s="8" t="s">
        <v>139</v>
      </c>
      <c r="B231" s="1" t="s">
        <v>321</v>
      </c>
      <c r="C231" s="1" t="s">
        <v>8</v>
      </c>
      <c r="D231" s="1" t="s">
        <v>16</v>
      </c>
      <c r="E231" s="1" t="s">
        <v>324</v>
      </c>
      <c r="F231" s="1">
        <v>94.13</v>
      </c>
      <c r="G231" s="1"/>
      <c r="H231" s="2">
        <f t="shared" si="3"/>
        <v>-94.13</v>
      </c>
      <c r="I231" s="16" t="str">
        <f>TEXT(Table3[[#This Row],[Date]],"mmm")</f>
        <v>May</v>
      </c>
    </row>
    <row r="232" spans="1:9" x14ac:dyDescent="0.3">
      <c r="A232" s="8" t="s">
        <v>140</v>
      </c>
      <c r="B232" s="1" t="s">
        <v>321</v>
      </c>
      <c r="C232" s="1" t="s">
        <v>9</v>
      </c>
      <c r="D232" s="1" t="s">
        <v>21</v>
      </c>
      <c r="E232" s="1" t="s">
        <v>324</v>
      </c>
      <c r="F232" s="1">
        <v>122.82</v>
      </c>
      <c r="G232" s="1"/>
      <c r="H232" s="2">
        <f t="shared" si="3"/>
        <v>-122.82</v>
      </c>
      <c r="I232" s="16" t="str">
        <f>TEXT(Table3[[#This Row],[Date]],"mmm")</f>
        <v>May</v>
      </c>
    </row>
    <row r="233" spans="1:9" x14ac:dyDescent="0.3">
      <c r="A233" s="8" t="s">
        <v>141</v>
      </c>
      <c r="B233" s="1" t="s">
        <v>321</v>
      </c>
      <c r="C233" s="1" t="s">
        <v>11</v>
      </c>
      <c r="D233" s="1" t="s">
        <v>27</v>
      </c>
      <c r="E233" s="1" t="s">
        <v>324</v>
      </c>
      <c r="F233" s="1">
        <v>56.13</v>
      </c>
      <c r="G233" s="1"/>
      <c r="H233" s="2">
        <f t="shared" si="3"/>
        <v>-56.13</v>
      </c>
      <c r="I233" s="16" t="str">
        <f>TEXT(Table3[[#This Row],[Date]],"mmm")</f>
        <v>May</v>
      </c>
    </row>
    <row r="234" spans="1:9" x14ac:dyDescent="0.3">
      <c r="A234" s="8" t="s">
        <v>141</v>
      </c>
      <c r="B234" s="1" t="s">
        <v>320</v>
      </c>
      <c r="C234" s="1" t="s">
        <v>8</v>
      </c>
      <c r="D234" s="1" t="s">
        <v>28</v>
      </c>
      <c r="E234" s="1" t="s">
        <v>324</v>
      </c>
      <c r="F234" s="1">
        <v>161.96</v>
      </c>
      <c r="G234" s="1"/>
      <c r="H234" s="2">
        <f t="shared" si="3"/>
        <v>-161.96</v>
      </c>
      <c r="I234" s="16" t="str">
        <f>TEXT(Table3[[#This Row],[Date]],"mmm")</f>
        <v>May</v>
      </c>
    </row>
    <row r="235" spans="1:9" x14ac:dyDescent="0.3">
      <c r="A235" s="8" t="s">
        <v>141</v>
      </c>
      <c r="B235" s="1" t="s">
        <v>320</v>
      </c>
      <c r="C235" s="1" t="s">
        <v>9</v>
      </c>
      <c r="D235" s="1" t="s">
        <v>21</v>
      </c>
      <c r="E235" s="1" t="s">
        <v>324</v>
      </c>
      <c r="F235" s="1">
        <v>147.30000000000001</v>
      </c>
      <c r="G235" s="1"/>
      <c r="H235" s="2">
        <f t="shared" si="3"/>
        <v>-147.30000000000001</v>
      </c>
      <c r="I235" s="16" t="str">
        <f>TEXT(Table3[[#This Row],[Date]],"mmm")</f>
        <v>May</v>
      </c>
    </row>
    <row r="236" spans="1:9" x14ac:dyDescent="0.3">
      <c r="A236" s="8" t="s">
        <v>141</v>
      </c>
      <c r="B236" s="1" t="s">
        <v>321</v>
      </c>
      <c r="C236" s="1" t="s">
        <v>9</v>
      </c>
      <c r="D236" s="1" t="s">
        <v>17</v>
      </c>
      <c r="E236" s="1" t="s">
        <v>324</v>
      </c>
      <c r="F236" s="1">
        <v>73.819999999999993</v>
      </c>
      <c r="G236" s="1"/>
      <c r="H236" s="2">
        <f t="shared" si="3"/>
        <v>-73.819999999999993</v>
      </c>
      <c r="I236" s="16" t="str">
        <f>TEXT(Table3[[#This Row],[Date]],"mmm")</f>
        <v>May</v>
      </c>
    </row>
    <row r="237" spans="1:9" x14ac:dyDescent="0.3">
      <c r="A237" s="8" t="s">
        <v>142</v>
      </c>
      <c r="B237" s="1" t="s">
        <v>321</v>
      </c>
      <c r="C237" s="1" t="s">
        <v>10</v>
      </c>
      <c r="D237" s="1" t="s">
        <v>22</v>
      </c>
      <c r="E237" s="1" t="s">
        <v>324</v>
      </c>
      <c r="F237" s="1">
        <v>13.62</v>
      </c>
      <c r="G237" s="1"/>
      <c r="H237" s="2">
        <f t="shared" si="3"/>
        <v>-13.62</v>
      </c>
      <c r="I237" s="16" t="str">
        <f>TEXT(Table3[[#This Row],[Date]],"mmm")</f>
        <v>May</v>
      </c>
    </row>
    <row r="238" spans="1:9" x14ac:dyDescent="0.3">
      <c r="A238" s="8" t="s">
        <v>142</v>
      </c>
      <c r="B238" s="1" t="s">
        <v>320</v>
      </c>
      <c r="C238" s="1" t="s">
        <v>11</v>
      </c>
      <c r="D238" s="1" t="s">
        <v>27</v>
      </c>
      <c r="E238" s="1" t="s">
        <v>324</v>
      </c>
      <c r="F238" s="1">
        <v>84.19</v>
      </c>
      <c r="G238" s="1"/>
      <c r="H238" s="2">
        <f t="shared" si="3"/>
        <v>-84.19</v>
      </c>
      <c r="I238" s="16" t="str">
        <f>TEXT(Table3[[#This Row],[Date]],"mmm")</f>
        <v>May</v>
      </c>
    </row>
    <row r="239" spans="1:9" x14ac:dyDescent="0.3">
      <c r="A239" s="8" t="s">
        <v>142</v>
      </c>
      <c r="B239" s="1" t="s">
        <v>320</v>
      </c>
      <c r="C239" s="1" t="s">
        <v>11</v>
      </c>
      <c r="D239" s="1" t="s">
        <v>27</v>
      </c>
      <c r="E239" s="1" t="s">
        <v>324</v>
      </c>
      <c r="F239" s="1">
        <v>12.72</v>
      </c>
      <c r="G239" s="1"/>
      <c r="H239" s="2">
        <f t="shared" si="3"/>
        <v>-12.72</v>
      </c>
      <c r="I239" s="16" t="str">
        <f>TEXT(Table3[[#This Row],[Date]],"mmm")</f>
        <v>May</v>
      </c>
    </row>
    <row r="240" spans="1:9" x14ac:dyDescent="0.3">
      <c r="A240" s="8" t="s">
        <v>142</v>
      </c>
      <c r="B240" s="1" t="s">
        <v>320</v>
      </c>
      <c r="C240" s="1" t="s">
        <v>10</v>
      </c>
      <c r="D240" s="1" t="s">
        <v>22</v>
      </c>
      <c r="E240" s="1" t="s">
        <v>324</v>
      </c>
      <c r="F240" s="1">
        <v>18.739999999999998</v>
      </c>
      <c r="G240" s="1"/>
      <c r="H240" s="2">
        <f t="shared" si="3"/>
        <v>-18.739999999999998</v>
      </c>
      <c r="I240" s="16" t="str">
        <f>TEXT(Table3[[#This Row],[Date]],"mmm")</f>
        <v>May</v>
      </c>
    </row>
    <row r="241" spans="1:9" x14ac:dyDescent="0.3">
      <c r="A241" s="8" t="s">
        <v>143</v>
      </c>
      <c r="B241" s="1" t="s">
        <v>321</v>
      </c>
      <c r="C241" s="1" t="s">
        <v>9</v>
      </c>
      <c r="D241" s="1" t="s">
        <v>21</v>
      </c>
      <c r="E241" s="1" t="s">
        <v>324</v>
      </c>
      <c r="F241" s="1">
        <v>180.85</v>
      </c>
      <c r="G241" s="1"/>
      <c r="H241" s="2">
        <f t="shared" si="3"/>
        <v>-180.85</v>
      </c>
      <c r="I241" s="16" t="str">
        <f>TEXT(Table3[[#This Row],[Date]],"mmm")</f>
        <v>May</v>
      </c>
    </row>
    <row r="242" spans="1:9" x14ac:dyDescent="0.3">
      <c r="A242" s="8" t="s">
        <v>143</v>
      </c>
      <c r="B242" s="1" t="s">
        <v>320</v>
      </c>
      <c r="C242" s="1" t="s">
        <v>7</v>
      </c>
      <c r="D242" s="1" t="s">
        <v>15</v>
      </c>
      <c r="E242" s="1" t="s">
        <v>324</v>
      </c>
      <c r="F242" s="1">
        <v>231.77</v>
      </c>
      <c r="G242" s="1"/>
      <c r="H242" s="2">
        <f t="shared" si="3"/>
        <v>-231.77</v>
      </c>
      <c r="I242" s="16" t="str">
        <f>TEXT(Table3[[#This Row],[Date]],"mmm")</f>
        <v>May</v>
      </c>
    </row>
    <row r="243" spans="1:9" x14ac:dyDescent="0.3">
      <c r="A243" s="8" t="s">
        <v>144</v>
      </c>
      <c r="B243" s="1" t="s">
        <v>321</v>
      </c>
      <c r="C243" s="1" t="s">
        <v>11</v>
      </c>
      <c r="D243" s="1" t="s">
        <v>20</v>
      </c>
      <c r="E243" s="1" t="s">
        <v>324</v>
      </c>
      <c r="F243" s="1">
        <v>88.97</v>
      </c>
      <c r="G243" s="1"/>
      <c r="H243" s="2">
        <f t="shared" si="3"/>
        <v>-88.97</v>
      </c>
      <c r="I243" s="16" t="str">
        <f>TEXT(Table3[[#This Row],[Date]],"mmm")</f>
        <v>May</v>
      </c>
    </row>
    <row r="244" spans="1:9" x14ac:dyDescent="0.3">
      <c r="A244" s="8" t="s">
        <v>144</v>
      </c>
      <c r="B244" s="1" t="s">
        <v>322</v>
      </c>
      <c r="C244" s="1" t="s">
        <v>12</v>
      </c>
      <c r="D244" s="1" t="s">
        <v>29</v>
      </c>
      <c r="E244" s="1" t="s">
        <v>324</v>
      </c>
      <c r="F244" s="1">
        <v>29.37</v>
      </c>
      <c r="G244" s="1"/>
      <c r="H244" s="2">
        <f t="shared" si="3"/>
        <v>-29.37</v>
      </c>
      <c r="I244" s="16" t="str">
        <f>TEXT(Table3[[#This Row],[Date]],"mmm")</f>
        <v>May</v>
      </c>
    </row>
    <row r="245" spans="1:9" x14ac:dyDescent="0.3">
      <c r="A245" s="8" t="s">
        <v>145</v>
      </c>
      <c r="B245" s="1" t="s">
        <v>321</v>
      </c>
      <c r="C245" s="1" t="s">
        <v>8</v>
      </c>
      <c r="D245" s="1" t="s">
        <v>16</v>
      </c>
      <c r="E245" s="1" t="s">
        <v>324</v>
      </c>
      <c r="F245" s="1">
        <v>108.1</v>
      </c>
      <c r="G245" s="1"/>
      <c r="H245" s="2">
        <f t="shared" si="3"/>
        <v>-108.1</v>
      </c>
      <c r="I245" s="16" t="str">
        <f>TEXT(Table3[[#This Row],[Date]],"mmm")</f>
        <v>May</v>
      </c>
    </row>
    <row r="246" spans="1:9" x14ac:dyDescent="0.3">
      <c r="A246" s="8" t="s">
        <v>145</v>
      </c>
      <c r="B246" s="1" t="s">
        <v>320</v>
      </c>
      <c r="C246" s="1" t="s">
        <v>8</v>
      </c>
      <c r="D246" s="1" t="s">
        <v>26</v>
      </c>
      <c r="E246" s="1" t="s">
        <v>324</v>
      </c>
      <c r="F246" s="1">
        <v>11.55</v>
      </c>
      <c r="G246" s="1"/>
      <c r="H246" s="2">
        <f t="shared" si="3"/>
        <v>-11.55</v>
      </c>
      <c r="I246" s="16" t="str">
        <f>TEXT(Table3[[#This Row],[Date]],"mmm")</f>
        <v>May</v>
      </c>
    </row>
    <row r="247" spans="1:9" x14ac:dyDescent="0.3">
      <c r="A247" s="8" t="s">
        <v>146</v>
      </c>
      <c r="B247" s="1" t="s">
        <v>320</v>
      </c>
      <c r="C247" s="1" t="s">
        <v>8</v>
      </c>
      <c r="D247" s="1" t="s">
        <v>28</v>
      </c>
      <c r="E247" s="1" t="s">
        <v>324</v>
      </c>
      <c r="F247" s="1">
        <v>139.4</v>
      </c>
      <c r="G247" s="1"/>
      <c r="H247" s="2">
        <f t="shared" si="3"/>
        <v>-139.4</v>
      </c>
      <c r="I247" s="16" t="str">
        <f>TEXT(Table3[[#This Row],[Date]],"mmm")</f>
        <v>May</v>
      </c>
    </row>
    <row r="248" spans="1:9" x14ac:dyDescent="0.3">
      <c r="A248" s="8" t="s">
        <v>147</v>
      </c>
      <c r="B248" s="1" t="s">
        <v>320</v>
      </c>
      <c r="C248" s="1" t="s">
        <v>6</v>
      </c>
      <c r="D248" s="1" t="s">
        <v>14</v>
      </c>
      <c r="E248" s="1" t="s">
        <v>324</v>
      </c>
      <c r="F248" s="1">
        <v>130.80000000000001</v>
      </c>
      <c r="G248" s="1"/>
      <c r="H248" s="2">
        <f t="shared" si="3"/>
        <v>-130.80000000000001</v>
      </c>
      <c r="I248" s="16" t="str">
        <f>TEXT(Table3[[#This Row],[Date]],"mmm")</f>
        <v>May</v>
      </c>
    </row>
    <row r="249" spans="1:9" x14ac:dyDescent="0.3">
      <c r="A249" s="8" t="s">
        <v>147</v>
      </c>
      <c r="B249" s="1" t="s">
        <v>320</v>
      </c>
      <c r="C249" s="1" t="s">
        <v>9</v>
      </c>
      <c r="D249" s="1" t="s">
        <v>17</v>
      </c>
      <c r="E249" s="1" t="s">
        <v>324</v>
      </c>
      <c r="F249" s="1">
        <v>233.01</v>
      </c>
      <c r="G249" s="1"/>
      <c r="H249" s="2">
        <f t="shared" si="3"/>
        <v>-233.01</v>
      </c>
      <c r="I249" s="16" t="str">
        <f>TEXT(Table3[[#This Row],[Date]],"mmm")</f>
        <v>May</v>
      </c>
    </row>
    <row r="250" spans="1:9" x14ac:dyDescent="0.3">
      <c r="A250" s="8" t="s">
        <v>148</v>
      </c>
      <c r="B250" s="1" t="s">
        <v>320</v>
      </c>
      <c r="C250" s="1" t="s">
        <v>8</v>
      </c>
      <c r="D250" s="1" t="s">
        <v>26</v>
      </c>
      <c r="E250" s="1" t="s">
        <v>324</v>
      </c>
      <c r="F250" s="1">
        <v>45.87</v>
      </c>
      <c r="G250" s="1"/>
      <c r="H250" s="2">
        <f t="shared" si="3"/>
        <v>-45.87</v>
      </c>
      <c r="I250" s="16" t="str">
        <f>TEXT(Table3[[#This Row],[Date]],"mmm")</f>
        <v>May</v>
      </c>
    </row>
    <row r="251" spans="1:9" x14ac:dyDescent="0.3">
      <c r="A251" s="8" t="s">
        <v>148</v>
      </c>
      <c r="B251" s="1" t="s">
        <v>321</v>
      </c>
      <c r="C251" s="1" t="s">
        <v>6</v>
      </c>
      <c r="D251" s="1" t="s">
        <v>18</v>
      </c>
      <c r="E251" s="1" t="s">
        <v>324</v>
      </c>
      <c r="F251" s="1">
        <v>14.6</v>
      </c>
      <c r="G251" s="1"/>
      <c r="H251" s="2">
        <f t="shared" si="3"/>
        <v>-14.6</v>
      </c>
      <c r="I251" s="16" t="str">
        <f>TEXT(Table3[[#This Row],[Date]],"mmm")</f>
        <v>May</v>
      </c>
    </row>
    <row r="252" spans="1:9" x14ac:dyDescent="0.3">
      <c r="A252" s="8" t="s">
        <v>149</v>
      </c>
      <c r="B252" s="1" t="s">
        <v>321</v>
      </c>
      <c r="C252" s="1" t="s">
        <v>11</v>
      </c>
      <c r="D252" s="1" t="s">
        <v>20</v>
      </c>
      <c r="E252" s="1" t="s">
        <v>324</v>
      </c>
      <c r="F252" s="1">
        <v>20.54</v>
      </c>
      <c r="G252" s="1"/>
      <c r="H252" s="2">
        <f t="shared" si="3"/>
        <v>-20.54</v>
      </c>
      <c r="I252" s="16" t="str">
        <f>TEXT(Table3[[#This Row],[Date]],"mmm")</f>
        <v>May</v>
      </c>
    </row>
    <row r="253" spans="1:9" x14ac:dyDescent="0.3">
      <c r="A253" s="8" t="s">
        <v>150</v>
      </c>
      <c r="B253" s="1" t="s">
        <v>320</v>
      </c>
      <c r="C253" s="1" t="s">
        <v>8</v>
      </c>
      <c r="D253" s="1" t="s">
        <v>26</v>
      </c>
      <c r="E253" s="1" t="s">
        <v>324</v>
      </c>
      <c r="F253" s="1">
        <v>205.06</v>
      </c>
      <c r="G253" s="1"/>
      <c r="H253" s="2">
        <f t="shared" si="3"/>
        <v>-205.06</v>
      </c>
      <c r="I253" s="16" t="str">
        <f>TEXT(Table3[[#This Row],[Date]],"mmm")</f>
        <v>May</v>
      </c>
    </row>
    <row r="254" spans="1:9" x14ac:dyDescent="0.3">
      <c r="A254" s="8" t="s">
        <v>151</v>
      </c>
      <c r="B254" s="1" t="s">
        <v>320</v>
      </c>
      <c r="C254" s="1" t="s">
        <v>12</v>
      </c>
      <c r="D254" s="1" t="s">
        <v>29</v>
      </c>
      <c r="E254" s="1" t="s">
        <v>324</v>
      </c>
      <c r="F254" s="1">
        <v>229.35</v>
      </c>
      <c r="G254" s="1"/>
      <c r="H254" s="2">
        <f t="shared" si="3"/>
        <v>-229.35</v>
      </c>
      <c r="I254" s="16" t="str">
        <f>TEXT(Table3[[#This Row],[Date]],"mmm")</f>
        <v>May</v>
      </c>
    </row>
    <row r="255" spans="1:9" x14ac:dyDescent="0.3">
      <c r="A255" s="8" t="s">
        <v>152</v>
      </c>
      <c r="B255" s="1" t="s">
        <v>320</v>
      </c>
      <c r="C255" s="1" t="s">
        <v>6</v>
      </c>
      <c r="D255" s="1" t="s">
        <v>14</v>
      </c>
      <c r="E255" s="1" t="s">
        <v>324</v>
      </c>
      <c r="F255" s="1">
        <v>208.59</v>
      </c>
      <c r="G255" s="1"/>
      <c r="H255" s="2">
        <f t="shared" si="3"/>
        <v>-208.59</v>
      </c>
      <c r="I255" s="16" t="str">
        <f>TEXT(Table3[[#This Row],[Date]],"mmm")</f>
        <v>May</v>
      </c>
    </row>
    <row r="256" spans="1:9" x14ac:dyDescent="0.3">
      <c r="A256" s="8" t="s">
        <v>152</v>
      </c>
      <c r="B256" s="1" t="s">
        <v>320</v>
      </c>
      <c r="C256" s="1" t="s">
        <v>13</v>
      </c>
      <c r="D256" s="1" t="s">
        <v>30</v>
      </c>
      <c r="E256" s="1" t="s">
        <v>13</v>
      </c>
      <c r="F256" s="1"/>
      <c r="G256" s="1">
        <v>7461</v>
      </c>
      <c r="H256" s="2">
        <v>7461</v>
      </c>
      <c r="I256" s="16" t="str">
        <f>TEXT(Table3[[#This Row],[Date]],"mmm")</f>
        <v>May</v>
      </c>
    </row>
    <row r="257" spans="1:9" x14ac:dyDescent="0.3">
      <c r="A257" s="8" t="s">
        <v>153</v>
      </c>
      <c r="B257" s="1" t="s">
        <v>320</v>
      </c>
      <c r="C257" s="1" t="s">
        <v>8</v>
      </c>
      <c r="D257" s="1" t="s">
        <v>26</v>
      </c>
      <c r="E257" s="1" t="s">
        <v>324</v>
      </c>
      <c r="F257" s="1">
        <v>130.22999999999999</v>
      </c>
      <c r="G257" s="1"/>
      <c r="H257" s="2">
        <f t="shared" si="3"/>
        <v>-130.22999999999999</v>
      </c>
      <c r="I257" s="16" t="str">
        <f>TEXT(Table3[[#This Row],[Date]],"mmm")</f>
        <v>Jun</v>
      </c>
    </row>
    <row r="258" spans="1:9" x14ac:dyDescent="0.3">
      <c r="A258" s="8" t="s">
        <v>153</v>
      </c>
      <c r="B258" s="1" t="s">
        <v>320</v>
      </c>
      <c r="C258" s="1" t="s">
        <v>11</v>
      </c>
      <c r="D258" s="1" t="s">
        <v>20</v>
      </c>
      <c r="E258" s="1" t="s">
        <v>324</v>
      </c>
      <c r="F258" s="1">
        <v>172.83</v>
      </c>
      <c r="G258" s="1"/>
      <c r="H258" s="2">
        <f t="shared" si="3"/>
        <v>-172.83</v>
      </c>
      <c r="I258" s="16" t="str">
        <f>TEXT(Table3[[#This Row],[Date]],"mmm")</f>
        <v>Jun</v>
      </c>
    </row>
    <row r="259" spans="1:9" x14ac:dyDescent="0.3">
      <c r="A259" s="8" t="s">
        <v>154</v>
      </c>
      <c r="B259" s="1" t="s">
        <v>321</v>
      </c>
      <c r="C259" s="1" t="s">
        <v>7</v>
      </c>
      <c r="D259" s="1" t="s">
        <v>15</v>
      </c>
      <c r="E259" s="1" t="s">
        <v>324</v>
      </c>
      <c r="F259" s="1">
        <v>133.85</v>
      </c>
      <c r="G259" s="1"/>
      <c r="H259" s="2">
        <f t="shared" ref="H259:H322" si="4">F259*-1</f>
        <v>-133.85</v>
      </c>
      <c r="I259" s="16" t="str">
        <f>TEXT(Table3[[#This Row],[Date]],"mmm")</f>
        <v>Jun</v>
      </c>
    </row>
    <row r="260" spans="1:9" x14ac:dyDescent="0.3">
      <c r="A260" s="8" t="s">
        <v>154</v>
      </c>
      <c r="B260" s="1" t="s">
        <v>320</v>
      </c>
      <c r="C260" s="1" t="s">
        <v>8</v>
      </c>
      <c r="D260" s="1" t="s">
        <v>26</v>
      </c>
      <c r="E260" s="1" t="s">
        <v>324</v>
      </c>
      <c r="F260" s="1">
        <v>216.59</v>
      </c>
      <c r="G260" s="1"/>
      <c r="H260" s="2">
        <f t="shared" si="4"/>
        <v>-216.59</v>
      </c>
      <c r="I260" s="16" t="str">
        <f>TEXT(Table3[[#This Row],[Date]],"mmm")</f>
        <v>Jun</v>
      </c>
    </row>
    <row r="261" spans="1:9" x14ac:dyDescent="0.3">
      <c r="A261" s="8" t="s">
        <v>155</v>
      </c>
      <c r="B261" s="1" t="s">
        <v>321</v>
      </c>
      <c r="C261" s="1" t="s">
        <v>11</v>
      </c>
      <c r="D261" s="1" t="s">
        <v>27</v>
      </c>
      <c r="E261" s="1" t="s">
        <v>324</v>
      </c>
      <c r="F261" s="1">
        <v>84.26</v>
      </c>
      <c r="G261" s="1"/>
      <c r="H261" s="2">
        <f t="shared" si="4"/>
        <v>-84.26</v>
      </c>
      <c r="I261" s="16" t="str">
        <f>TEXT(Table3[[#This Row],[Date]],"mmm")</f>
        <v>Jun</v>
      </c>
    </row>
    <row r="262" spans="1:9" x14ac:dyDescent="0.3">
      <c r="A262" s="8" t="s">
        <v>156</v>
      </c>
      <c r="B262" s="1" t="s">
        <v>321</v>
      </c>
      <c r="C262" s="1" t="s">
        <v>6</v>
      </c>
      <c r="D262" s="1" t="s">
        <v>18</v>
      </c>
      <c r="E262" s="1" t="s">
        <v>324</v>
      </c>
      <c r="F262" s="1">
        <v>34.869999999999997</v>
      </c>
      <c r="G262" s="1"/>
      <c r="H262" s="2">
        <f t="shared" si="4"/>
        <v>-34.869999999999997</v>
      </c>
      <c r="I262" s="16" t="str">
        <f>TEXT(Table3[[#This Row],[Date]],"mmm")</f>
        <v>Jun</v>
      </c>
    </row>
    <row r="263" spans="1:9" x14ac:dyDescent="0.3">
      <c r="A263" s="8" t="s">
        <v>156</v>
      </c>
      <c r="B263" s="1" t="s">
        <v>320</v>
      </c>
      <c r="C263" s="1" t="s">
        <v>11</v>
      </c>
      <c r="D263" s="1" t="s">
        <v>27</v>
      </c>
      <c r="E263" s="1" t="s">
        <v>324</v>
      </c>
      <c r="F263" s="1">
        <v>104.93</v>
      </c>
      <c r="G263" s="1"/>
      <c r="H263" s="2">
        <f t="shared" si="4"/>
        <v>-104.93</v>
      </c>
      <c r="I263" s="16" t="str">
        <f>TEXT(Table3[[#This Row],[Date]],"mmm")</f>
        <v>Jun</v>
      </c>
    </row>
    <row r="264" spans="1:9" x14ac:dyDescent="0.3">
      <c r="A264" s="8" t="s">
        <v>157</v>
      </c>
      <c r="B264" s="1" t="s">
        <v>320</v>
      </c>
      <c r="C264" s="1" t="s">
        <v>6</v>
      </c>
      <c r="D264" s="1" t="s">
        <v>18</v>
      </c>
      <c r="E264" s="1" t="s">
        <v>324</v>
      </c>
      <c r="F264" s="1">
        <v>24.35</v>
      </c>
      <c r="G264" s="1"/>
      <c r="H264" s="2">
        <f t="shared" si="4"/>
        <v>-24.35</v>
      </c>
      <c r="I264" s="16" t="str">
        <f>TEXT(Table3[[#This Row],[Date]],"mmm")</f>
        <v>Jun</v>
      </c>
    </row>
    <row r="265" spans="1:9" x14ac:dyDescent="0.3">
      <c r="A265" s="8" t="s">
        <v>158</v>
      </c>
      <c r="B265" s="1" t="s">
        <v>320</v>
      </c>
      <c r="C265" s="1" t="s">
        <v>7</v>
      </c>
      <c r="D265" s="1" t="s">
        <v>23</v>
      </c>
      <c r="E265" s="1" t="s">
        <v>324</v>
      </c>
      <c r="F265" s="1">
        <v>68.53</v>
      </c>
      <c r="G265" s="1"/>
      <c r="H265" s="2">
        <f t="shared" si="4"/>
        <v>-68.53</v>
      </c>
      <c r="I265" s="16" t="str">
        <f>TEXT(Table3[[#This Row],[Date]],"mmm")</f>
        <v>Jun</v>
      </c>
    </row>
    <row r="266" spans="1:9" x14ac:dyDescent="0.3">
      <c r="A266" s="8" t="s">
        <v>159</v>
      </c>
      <c r="B266" s="1" t="s">
        <v>321</v>
      </c>
      <c r="C266" s="1" t="s">
        <v>9</v>
      </c>
      <c r="D266" s="1" t="s">
        <v>21</v>
      </c>
      <c r="E266" s="1" t="s">
        <v>324</v>
      </c>
      <c r="F266" s="1">
        <v>188.08</v>
      </c>
      <c r="G266" s="1"/>
      <c r="H266" s="2">
        <f t="shared" si="4"/>
        <v>-188.08</v>
      </c>
      <c r="I266" s="16" t="str">
        <f>TEXT(Table3[[#This Row],[Date]],"mmm")</f>
        <v>Jun</v>
      </c>
    </row>
    <row r="267" spans="1:9" x14ac:dyDescent="0.3">
      <c r="A267" s="8" t="s">
        <v>159</v>
      </c>
      <c r="B267" s="1" t="s">
        <v>321</v>
      </c>
      <c r="C267" s="1" t="s">
        <v>11</v>
      </c>
      <c r="D267" s="1" t="s">
        <v>20</v>
      </c>
      <c r="E267" s="1" t="s">
        <v>324</v>
      </c>
      <c r="F267" s="1">
        <v>40.15</v>
      </c>
      <c r="G267" s="1"/>
      <c r="H267" s="2">
        <f t="shared" si="4"/>
        <v>-40.15</v>
      </c>
      <c r="I267" s="16" t="str">
        <f>TEXT(Table3[[#This Row],[Date]],"mmm")</f>
        <v>Jun</v>
      </c>
    </row>
    <row r="268" spans="1:9" x14ac:dyDescent="0.3">
      <c r="A268" s="8" t="s">
        <v>160</v>
      </c>
      <c r="B268" s="1" t="s">
        <v>320</v>
      </c>
      <c r="C268" s="1" t="s">
        <v>8</v>
      </c>
      <c r="D268" s="1" t="s">
        <v>28</v>
      </c>
      <c r="E268" s="1" t="s">
        <v>324</v>
      </c>
      <c r="F268" s="1">
        <v>198.42</v>
      </c>
      <c r="G268" s="1"/>
      <c r="H268" s="2">
        <f t="shared" si="4"/>
        <v>-198.42</v>
      </c>
      <c r="I268" s="16" t="str">
        <f>TEXT(Table3[[#This Row],[Date]],"mmm")</f>
        <v>Jun</v>
      </c>
    </row>
    <row r="269" spans="1:9" x14ac:dyDescent="0.3">
      <c r="A269" s="8" t="s">
        <v>160</v>
      </c>
      <c r="B269" s="1" t="s">
        <v>320</v>
      </c>
      <c r="C269" s="1" t="s">
        <v>9</v>
      </c>
      <c r="D269" s="1" t="s">
        <v>21</v>
      </c>
      <c r="E269" s="1" t="s">
        <v>324</v>
      </c>
      <c r="F269" s="1">
        <v>119.28</v>
      </c>
      <c r="G269" s="1"/>
      <c r="H269" s="2">
        <f t="shared" si="4"/>
        <v>-119.28</v>
      </c>
      <c r="I269" s="16" t="str">
        <f>TEXT(Table3[[#This Row],[Date]],"mmm")</f>
        <v>Jun</v>
      </c>
    </row>
    <row r="270" spans="1:9" x14ac:dyDescent="0.3">
      <c r="A270" s="8" t="s">
        <v>161</v>
      </c>
      <c r="B270" s="1" t="s">
        <v>320</v>
      </c>
      <c r="C270" s="1" t="s">
        <v>10</v>
      </c>
      <c r="D270" s="1" t="s">
        <v>22</v>
      </c>
      <c r="E270" s="1" t="s">
        <v>324</v>
      </c>
      <c r="F270" s="1">
        <v>188.08</v>
      </c>
      <c r="G270" s="1"/>
      <c r="H270" s="2">
        <f t="shared" si="4"/>
        <v>-188.08</v>
      </c>
      <c r="I270" s="16" t="str">
        <f>TEXT(Table3[[#This Row],[Date]],"mmm")</f>
        <v>Jun</v>
      </c>
    </row>
    <row r="271" spans="1:9" x14ac:dyDescent="0.3">
      <c r="A271" s="8" t="s">
        <v>162</v>
      </c>
      <c r="B271" s="1" t="s">
        <v>320</v>
      </c>
      <c r="C271" s="1" t="s">
        <v>9</v>
      </c>
      <c r="D271" s="1" t="s">
        <v>21</v>
      </c>
      <c r="E271" s="1" t="s">
        <v>324</v>
      </c>
      <c r="F271" s="1">
        <v>202.26</v>
      </c>
      <c r="G271" s="1"/>
      <c r="H271" s="2">
        <f t="shared" si="4"/>
        <v>-202.26</v>
      </c>
      <c r="I271" s="16" t="str">
        <f>TEXT(Table3[[#This Row],[Date]],"mmm")</f>
        <v>Jun</v>
      </c>
    </row>
    <row r="272" spans="1:9" x14ac:dyDescent="0.3">
      <c r="A272" s="8" t="s">
        <v>163</v>
      </c>
      <c r="B272" s="1" t="s">
        <v>321</v>
      </c>
      <c r="C272" s="1" t="s">
        <v>12</v>
      </c>
      <c r="D272" s="1" t="s">
        <v>29</v>
      </c>
      <c r="E272" s="1" t="s">
        <v>324</v>
      </c>
      <c r="F272" s="1">
        <v>96.25</v>
      </c>
      <c r="G272" s="1"/>
      <c r="H272" s="2">
        <f t="shared" si="4"/>
        <v>-96.25</v>
      </c>
      <c r="I272" s="16" t="str">
        <f>TEXT(Table3[[#This Row],[Date]],"mmm")</f>
        <v>Jun</v>
      </c>
    </row>
    <row r="273" spans="1:9" x14ac:dyDescent="0.3">
      <c r="A273" s="8" t="s">
        <v>163</v>
      </c>
      <c r="B273" s="1" t="s">
        <v>321</v>
      </c>
      <c r="C273" s="1" t="s">
        <v>12</v>
      </c>
      <c r="D273" s="1" t="s">
        <v>24</v>
      </c>
      <c r="E273" s="1" t="s">
        <v>324</v>
      </c>
      <c r="F273" s="1">
        <v>226.53</v>
      </c>
      <c r="G273" s="1"/>
      <c r="H273" s="2">
        <f t="shared" si="4"/>
        <v>-226.53</v>
      </c>
      <c r="I273" s="16" t="str">
        <f>TEXT(Table3[[#This Row],[Date]],"mmm")</f>
        <v>Jun</v>
      </c>
    </row>
    <row r="274" spans="1:9" x14ac:dyDescent="0.3">
      <c r="A274" s="8" t="s">
        <v>164</v>
      </c>
      <c r="B274" s="1" t="s">
        <v>321</v>
      </c>
      <c r="C274" s="1" t="s">
        <v>6</v>
      </c>
      <c r="D274" s="1" t="s">
        <v>18</v>
      </c>
      <c r="E274" s="1" t="s">
        <v>324</v>
      </c>
      <c r="F274" s="1">
        <v>172.45</v>
      </c>
      <c r="G274" s="1"/>
      <c r="H274" s="2">
        <f t="shared" si="4"/>
        <v>-172.45</v>
      </c>
      <c r="I274" s="16" t="str">
        <f>TEXT(Table3[[#This Row],[Date]],"mmm")</f>
        <v>Jun</v>
      </c>
    </row>
    <row r="275" spans="1:9" x14ac:dyDescent="0.3">
      <c r="A275" s="8" t="s">
        <v>165</v>
      </c>
      <c r="B275" s="1" t="s">
        <v>321</v>
      </c>
      <c r="C275" s="1" t="s">
        <v>6</v>
      </c>
      <c r="D275" s="1" t="s">
        <v>18</v>
      </c>
      <c r="E275" s="1" t="s">
        <v>324</v>
      </c>
      <c r="F275" s="1">
        <v>183.34</v>
      </c>
      <c r="G275" s="1"/>
      <c r="H275" s="2">
        <f t="shared" si="4"/>
        <v>-183.34</v>
      </c>
      <c r="I275" s="16" t="str">
        <f>TEXT(Table3[[#This Row],[Date]],"mmm")</f>
        <v>Jun</v>
      </c>
    </row>
    <row r="276" spans="1:9" x14ac:dyDescent="0.3">
      <c r="A276" s="8" t="s">
        <v>165</v>
      </c>
      <c r="B276" s="1" t="s">
        <v>321</v>
      </c>
      <c r="C276" s="1" t="s">
        <v>11</v>
      </c>
      <c r="D276" s="1" t="s">
        <v>20</v>
      </c>
      <c r="E276" s="1" t="s">
        <v>324</v>
      </c>
      <c r="F276" s="1">
        <v>183.43</v>
      </c>
      <c r="G276" s="1"/>
      <c r="H276" s="2">
        <f t="shared" si="4"/>
        <v>-183.43</v>
      </c>
      <c r="I276" s="16" t="str">
        <f>TEXT(Table3[[#This Row],[Date]],"mmm")</f>
        <v>Jun</v>
      </c>
    </row>
    <row r="277" spans="1:9" x14ac:dyDescent="0.3">
      <c r="A277" s="8" t="s">
        <v>166</v>
      </c>
      <c r="B277" s="1" t="s">
        <v>321</v>
      </c>
      <c r="C277" s="1" t="s">
        <v>6</v>
      </c>
      <c r="D277" s="1" t="s">
        <v>18</v>
      </c>
      <c r="E277" s="1" t="s">
        <v>324</v>
      </c>
      <c r="F277" s="1">
        <v>220.83</v>
      </c>
      <c r="G277" s="1"/>
      <c r="H277" s="2">
        <f t="shared" si="4"/>
        <v>-220.83</v>
      </c>
      <c r="I277" s="16" t="str">
        <f>TEXT(Table3[[#This Row],[Date]],"mmm")</f>
        <v>Jun</v>
      </c>
    </row>
    <row r="278" spans="1:9" x14ac:dyDescent="0.3">
      <c r="A278" s="8" t="s">
        <v>166</v>
      </c>
      <c r="B278" s="1" t="s">
        <v>321</v>
      </c>
      <c r="C278" s="1" t="s">
        <v>10</v>
      </c>
      <c r="D278" s="1" t="s">
        <v>22</v>
      </c>
      <c r="E278" s="1" t="s">
        <v>324</v>
      </c>
      <c r="F278" s="1">
        <v>172.72</v>
      </c>
      <c r="G278" s="1"/>
      <c r="H278" s="2">
        <f t="shared" si="4"/>
        <v>-172.72</v>
      </c>
      <c r="I278" s="16" t="str">
        <f>TEXT(Table3[[#This Row],[Date]],"mmm")</f>
        <v>Jun</v>
      </c>
    </row>
    <row r="279" spans="1:9" x14ac:dyDescent="0.3">
      <c r="A279" s="8" t="s">
        <v>166</v>
      </c>
      <c r="B279" s="1" t="s">
        <v>321</v>
      </c>
      <c r="C279" s="1" t="s">
        <v>8</v>
      </c>
      <c r="D279" s="1" t="s">
        <v>28</v>
      </c>
      <c r="E279" s="1" t="s">
        <v>324</v>
      </c>
      <c r="F279" s="1">
        <v>29.58</v>
      </c>
      <c r="G279" s="1"/>
      <c r="H279" s="2">
        <f t="shared" si="4"/>
        <v>-29.58</v>
      </c>
      <c r="I279" s="16" t="str">
        <f>TEXT(Table3[[#This Row],[Date]],"mmm")</f>
        <v>Jun</v>
      </c>
    </row>
    <row r="280" spans="1:9" x14ac:dyDescent="0.3">
      <c r="A280" s="8" t="s">
        <v>167</v>
      </c>
      <c r="B280" s="1" t="s">
        <v>320</v>
      </c>
      <c r="C280" s="1" t="s">
        <v>10</v>
      </c>
      <c r="D280" s="1" t="s">
        <v>22</v>
      </c>
      <c r="E280" s="1" t="s">
        <v>324</v>
      </c>
      <c r="F280" s="1">
        <v>162.77000000000001</v>
      </c>
      <c r="G280" s="1"/>
      <c r="H280" s="2">
        <f t="shared" si="4"/>
        <v>-162.77000000000001</v>
      </c>
      <c r="I280" s="16" t="str">
        <f>TEXT(Table3[[#This Row],[Date]],"mmm")</f>
        <v>Jun</v>
      </c>
    </row>
    <row r="281" spans="1:9" x14ac:dyDescent="0.3">
      <c r="A281" s="8" t="s">
        <v>167</v>
      </c>
      <c r="B281" s="1" t="s">
        <v>320</v>
      </c>
      <c r="C281" s="1" t="s">
        <v>7</v>
      </c>
      <c r="D281" s="1" t="s">
        <v>23</v>
      </c>
      <c r="E281" s="1" t="s">
        <v>324</v>
      </c>
      <c r="F281" s="1">
        <v>73.3</v>
      </c>
      <c r="G281" s="1"/>
      <c r="H281" s="2">
        <f t="shared" si="4"/>
        <v>-73.3</v>
      </c>
      <c r="I281" s="16" t="str">
        <f>TEXT(Table3[[#This Row],[Date]],"mmm")</f>
        <v>Jun</v>
      </c>
    </row>
    <row r="282" spans="1:9" x14ac:dyDescent="0.3">
      <c r="A282" s="8" t="s">
        <v>167</v>
      </c>
      <c r="B282" s="1" t="s">
        <v>321</v>
      </c>
      <c r="C282" s="1" t="s">
        <v>11</v>
      </c>
      <c r="D282" s="1" t="s">
        <v>20</v>
      </c>
      <c r="E282" s="1" t="s">
        <v>324</v>
      </c>
      <c r="F282" s="1">
        <v>14</v>
      </c>
      <c r="G282" s="1"/>
      <c r="H282" s="2">
        <f t="shared" si="4"/>
        <v>-14</v>
      </c>
      <c r="I282" s="16" t="str">
        <f>TEXT(Table3[[#This Row],[Date]],"mmm")</f>
        <v>Jun</v>
      </c>
    </row>
    <row r="283" spans="1:9" x14ac:dyDescent="0.3">
      <c r="A283" s="8" t="s">
        <v>167</v>
      </c>
      <c r="B283" s="1" t="s">
        <v>320</v>
      </c>
      <c r="C283" s="1" t="s">
        <v>7</v>
      </c>
      <c r="D283" s="1" t="s">
        <v>23</v>
      </c>
      <c r="E283" s="1" t="s">
        <v>324</v>
      </c>
      <c r="F283" s="1">
        <v>94.56</v>
      </c>
      <c r="G283" s="1"/>
      <c r="H283" s="2">
        <f t="shared" si="4"/>
        <v>-94.56</v>
      </c>
      <c r="I283" s="16" t="str">
        <f>TEXT(Table3[[#This Row],[Date]],"mmm")</f>
        <v>Jun</v>
      </c>
    </row>
    <row r="284" spans="1:9" x14ac:dyDescent="0.3">
      <c r="A284" s="8" t="s">
        <v>167</v>
      </c>
      <c r="B284" s="1" t="s">
        <v>321</v>
      </c>
      <c r="C284" s="1" t="s">
        <v>6</v>
      </c>
      <c r="D284" s="1" t="s">
        <v>18</v>
      </c>
      <c r="E284" s="1" t="s">
        <v>324</v>
      </c>
      <c r="F284" s="1">
        <v>43.04</v>
      </c>
      <c r="G284" s="1"/>
      <c r="H284" s="2">
        <f t="shared" si="4"/>
        <v>-43.04</v>
      </c>
      <c r="I284" s="16" t="str">
        <f>TEXT(Table3[[#This Row],[Date]],"mmm")</f>
        <v>Jun</v>
      </c>
    </row>
    <row r="285" spans="1:9" x14ac:dyDescent="0.3">
      <c r="A285" s="8" t="s">
        <v>168</v>
      </c>
      <c r="B285" s="1" t="s">
        <v>321</v>
      </c>
      <c r="C285" s="1" t="s">
        <v>9</v>
      </c>
      <c r="D285" s="1" t="s">
        <v>21</v>
      </c>
      <c r="E285" s="1" t="s">
        <v>324</v>
      </c>
      <c r="F285" s="1">
        <v>97.74</v>
      </c>
      <c r="G285" s="1"/>
      <c r="H285" s="2">
        <f t="shared" si="4"/>
        <v>-97.74</v>
      </c>
      <c r="I285" s="16" t="str">
        <f>TEXT(Table3[[#This Row],[Date]],"mmm")</f>
        <v>Jun</v>
      </c>
    </row>
    <row r="286" spans="1:9" x14ac:dyDescent="0.3">
      <c r="A286" s="8" t="s">
        <v>168</v>
      </c>
      <c r="B286" s="1" t="s">
        <v>321</v>
      </c>
      <c r="C286" s="1" t="s">
        <v>10</v>
      </c>
      <c r="D286" s="1" t="s">
        <v>22</v>
      </c>
      <c r="E286" s="1" t="s">
        <v>324</v>
      </c>
      <c r="F286" s="1">
        <v>213.74</v>
      </c>
      <c r="G286" s="1"/>
      <c r="H286" s="2">
        <f t="shared" si="4"/>
        <v>-213.74</v>
      </c>
      <c r="I286" s="16" t="str">
        <f>TEXT(Table3[[#This Row],[Date]],"mmm")</f>
        <v>Jun</v>
      </c>
    </row>
    <row r="287" spans="1:9" x14ac:dyDescent="0.3">
      <c r="A287" s="8" t="s">
        <v>169</v>
      </c>
      <c r="B287" s="1" t="s">
        <v>320</v>
      </c>
      <c r="C287" s="1" t="s">
        <v>7</v>
      </c>
      <c r="D287" s="1" t="s">
        <v>23</v>
      </c>
      <c r="E287" s="1" t="s">
        <v>324</v>
      </c>
      <c r="F287" s="1">
        <v>56.58</v>
      </c>
      <c r="G287" s="1"/>
      <c r="H287" s="2">
        <f t="shared" si="4"/>
        <v>-56.58</v>
      </c>
      <c r="I287" s="16" t="str">
        <f>TEXT(Table3[[#This Row],[Date]],"mmm")</f>
        <v>Jun</v>
      </c>
    </row>
    <row r="288" spans="1:9" x14ac:dyDescent="0.3">
      <c r="A288" s="8" t="s">
        <v>170</v>
      </c>
      <c r="B288" s="1" t="s">
        <v>320</v>
      </c>
      <c r="C288" s="1" t="s">
        <v>8</v>
      </c>
      <c r="D288" s="1" t="s">
        <v>16</v>
      </c>
      <c r="E288" s="1" t="s">
        <v>324</v>
      </c>
      <c r="F288" s="1">
        <v>102.86</v>
      </c>
      <c r="G288" s="1"/>
      <c r="H288" s="2">
        <f t="shared" si="4"/>
        <v>-102.86</v>
      </c>
      <c r="I288" s="16" t="str">
        <f>TEXT(Table3[[#This Row],[Date]],"mmm")</f>
        <v>Jun</v>
      </c>
    </row>
    <row r="289" spans="1:9" x14ac:dyDescent="0.3">
      <c r="A289" s="8" t="s">
        <v>170</v>
      </c>
      <c r="B289" s="1" t="s">
        <v>320</v>
      </c>
      <c r="C289" s="1" t="s">
        <v>10</v>
      </c>
      <c r="D289" s="1" t="s">
        <v>22</v>
      </c>
      <c r="E289" s="1" t="s">
        <v>324</v>
      </c>
      <c r="F289" s="1">
        <v>105.22</v>
      </c>
      <c r="G289" s="1"/>
      <c r="H289" s="2">
        <f t="shared" si="4"/>
        <v>-105.22</v>
      </c>
      <c r="I289" s="16" t="str">
        <f>TEXT(Table3[[#This Row],[Date]],"mmm")</f>
        <v>Jun</v>
      </c>
    </row>
    <row r="290" spans="1:9" x14ac:dyDescent="0.3">
      <c r="A290" s="8" t="s">
        <v>170</v>
      </c>
      <c r="B290" s="1" t="s">
        <v>320</v>
      </c>
      <c r="C290" s="1" t="s">
        <v>11</v>
      </c>
      <c r="D290" s="1" t="s">
        <v>25</v>
      </c>
      <c r="E290" s="1" t="s">
        <v>324</v>
      </c>
      <c r="F290" s="1">
        <v>21.02</v>
      </c>
      <c r="G290" s="1"/>
      <c r="H290" s="2">
        <f t="shared" si="4"/>
        <v>-21.02</v>
      </c>
      <c r="I290" s="16" t="str">
        <f>TEXT(Table3[[#This Row],[Date]],"mmm")</f>
        <v>Jun</v>
      </c>
    </row>
    <row r="291" spans="1:9" x14ac:dyDescent="0.3">
      <c r="A291" s="8" t="s">
        <v>170</v>
      </c>
      <c r="B291" s="1" t="s">
        <v>320</v>
      </c>
      <c r="C291" s="1" t="s">
        <v>10</v>
      </c>
      <c r="D291" s="1" t="s">
        <v>22</v>
      </c>
      <c r="E291" s="1" t="s">
        <v>324</v>
      </c>
      <c r="F291" s="1">
        <v>11.11</v>
      </c>
      <c r="G291" s="1"/>
      <c r="H291" s="2">
        <f t="shared" si="4"/>
        <v>-11.11</v>
      </c>
      <c r="I291" s="16" t="str">
        <f>TEXT(Table3[[#This Row],[Date]],"mmm")</f>
        <v>Jun</v>
      </c>
    </row>
    <row r="292" spans="1:9" x14ac:dyDescent="0.3">
      <c r="A292" s="8" t="s">
        <v>170</v>
      </c>
      <c r="B292" s="1" t="s">
        <v>321</v>
      </c>
      <c r="C292" s="1" t="s">
        <v>11</v>
      </c>
      <c r="D292" s="1" t="s">
        <v>25</v>
      </c>
      <c r="E292" s="1" t="s">
        <v>324</v>
      </c>
      <c r="F292" s="1">
        <v>91.79</v>
      </c>
      <c r="G292" s="1"/>
      <c r="H292" s="2">
        <f t="shared" si="4"/>
        <v>-91.79</v>
      </c>
      <c r="I292" s="16" t="str">
        <f>TEXT(Table3[[#This Row],[Date]],"mmm")</f>
        <v>Jun</v>
      </c>
    </row>
    <row r="293" spans="1:9" x14ac:dyDescent="0.3">
      <c r="A293" s="8" t="s">
        <v>171</v>
      </c>
      <c r="B293" s="1" t="s">
        <v>320</v>
      </c>
      <c r="C293" s="1" t="s">
        <v>11</v>
      </c>
      <c r="D293" s="1" t="s">
        <v>27</v>
      </c>
      <c r="E293" s="1" t="s">
        <v>324</v>
      </c>
      <c r="F293" s="1">
        <v>76.48</v>
      </c>
      <c r="G293" s="1"/>
      <c r="H293" s="2">
        <f t="shared" si="4"/>
        <v>-76.48</v>
      </c>
      <c r="I293" s="16" t="str">
        <f>TEXT(Table3[[#This Row],[Date]],"mmm")</f>
        <v>Jun</v>
      </c>
    </row>
    <row r="294" spans="1:9" x14ac:dyDescent="0.3">
      <c r="A294" s="8" t="s">
        <v>172</v>
      </c>
      <c r="B294" s="1" t="s">
        <v>320</v>
      </c>
      <c r="C294" s="1" t="s">
        <v>9</v>
      </c>
      <c r="D294" s="1" t="s">
        <v>21</v>
      </c>
      <c r="E294" s="1" t="s">
        <v>324</v>
      </c>
      <c r="F294" s="1">
        <v>124.76</v>
      </c>
      <c r="G294" s="1"/>
      <c r="H294" s="2">
        <f t="shared" si="4"/>
        <v>-124.76</v>
      </c>
      <c r="I294" s="16" t="str">
        <f>TEXT(Table3[[#This Row],[Date]],"mmm")</f>
        <v>Jun</v>
      </c>
    </row>
    <row r="295" spans="1:9" x14ac:dyDescent="0.3">
      <c r="A295" s="8" t="s">
        <v>172</v>
      </c>
      <c r="B295" s="1" t="s">
        <v>321</v>
      </c>
      <c r="C295" s="1" t="s">
        <v>9</v>
      </c>
      <c r="D295" s="1" t="s">
        <v>17</v>
      </c>
      <c r="E295" s="1" t="s">
        <v>324</v>
      </c>
      <c r="F295" s="1">
        <v>180.73</v>
      </c>
      <c r="G295" s="1"/>
      <c r="H295" s="2">
        <f t="shared" si="4"/>
        <v>-180.73</v>
      </c>
      <c r="I295" s="16" t="str">
        <f>TEXT(Table3[[#This Row],[Date]],"mmm")</f>
        <v>Jun</v>
      </c>
    </row>
    <row r="296" spans="1:9" x14ac:dyDescent="0.3">
      <c r="A296" s="8" t="s">
        <v>172</v>
      </c>
      <c r="B296" s="1" t="s">
        <v>322</v>
      </c>
      <c r="C296" s="1" t="s">
        <v>12</v>
      </c>
      <c r="D296" s="1" t="s">
        <v>24</v>
      </c>
      <c r="E296" s="1" t="s">
        <v>324</v>
      </c>
      <c r="F296" s="1">
        <v>99.16</v>
      </c>
      <c r="G296" s="1"/>
      <c r="H296" s="2">
        <f t="shared" si="4"/>
        <v>-99.16</v>
      </c>
      <c r="I296" s="16" t="str">
        <f>TEXT(Table3[[#This Row],[Date]],"mmm")</f>
        <v>Jun</v>
      </c>
    </row>
    <row r="297" spans="1:9" x14ac:dyDescent="0.3">
      <c r="A297" s="8" t="s">
        <v>172</v>
      </c>
      <c r="B297" s="1" t="s">
        <v>321</v>
      </c>
      <c r="C297" s="1" t="s">
        <v>7</v>
      </c>
      <c r="D297" s="1" t="s">
        <v>23</v>
      </c>
      <c r="E297" s="1" t="s">
        <v>324</v>
      </c>
      <c r="F297" s="1">
        <v>37.76</v>
      </c>
      <c r="G297" s="1"/>
      <c r="H297" s="2">
        <f t="shared" si="4"/>
        <v>-37.76</v>
      </c>
      <c r="I297" s="16" t="str">
        <f>TEXT(Table3[[#This Row],[Date]],"mmm")</f>
        <v>Jun</v>
      </c>
    </row>
    <row r="298" spans="1:9" x14ac:dyDescent="0.3">
      <c r="A298" s="8" t="s">
        <v>173</v>
      </c>
      <c r="B298" s="1" t="s">
        <v>321</v>
      </c>
      <c r="C298" s="1" t="s">
        <v>8</v>
      </c>
      <c r="D298" s="1" t="s">
        <v>28</v>
      </c>
      <c r="E298" s="1" t="s">
        <v>324</v>
      </c>
      <c r="F298" s="1">
        <v>217.4</v>
      </c>
      <c r="G298" s="1"/>
      <c r="H298" s="2">
        <f t="shared" si="4"/>
        <v>-217.4</v>
      </c>
      <c r="I298" s="16" t="str">
        <f>TEXT(Table3[[#This Row],[Date]],"mmm")</f>
        <v>Jun</v>
      </c>
    </row>
    <row r="299" spans="1:9" x14ac:dyDescent="0.3">
      <c r="A299" s="8" t="s">
        <v>173</v>
      </c>
      <c r="B299" s="1" t="s">
        <v>321</v>
      </c>
      <c r="C299" s="1" t="s">
        <v>9</v>
      </c>
      <c r="D299" s="1" t="s">
        <v>17</v>
      </c>
      <c r="E299" s="1" t="s">
        <v>324</v>
      </c>
      <c r="F299" s="1">
        <v>60.28</v>
      </c>
      <c r="G299" s="1"/>
      <c r="H299" s="2">
        <f t="shared" si="4"/>
        <v>-60.28</v>
      </c>
      <c r="I299" s="16" t="str">
        <f>TEXT(Table3[[#This Row],[Date]],"mmm")</f>
        <v>Jun</v>
      </c>
    </row>
    <row r="300" spans="1:9" x14ac:dyDescent="0.3">
      <c r="A300" s="8" t="s">
        <v>173</v>
      </c>
      <c r="B300" s="1" t="s">
        <v>321</v>
      </c>
      <c r="C300" s="1" t="s">
        <v>8</v>
      </c>
      <c r="D300" s="1" t="s">
        <v>16</v>
      </c>
      <c r="E300" s="1" t="s">
        <v>324</v>
      </c>
      <c r="F300" s="1">
        <v>216.38</v>
      </c>
      <c r="G300" s="1"/>
      <c r="H300" s="2">
        <f t="shared" si="4"/>
        <v>-216.38</v>
      </c>
      <c r="I300" s="16" t="str">
        <f>TEXT(Table3[[#This Row],[Date]],"mmm")</f>
        <v>Jun</v>
      </c>
    </row>
    <row r="301" spans="1:9" x14ac:dyDescent="0.3">
      <c r="A301" s="8" t="s">
        <v>174</v>
      </c>
      <c r="B301" s="1" t="s">
        <v>322</v>
      </c>
      <c r="C301" s="1" t="s">
        <v>12</v>
      </c>
      <c r="D301" s="1" t="s">
        <v>24</v>
      </c>
      <c r="E301" s="1" t="s">
        <v>324</v>
      </c>
      <c r="F301" s="1">
        <v>113.9</v>
      </c>
      <c r="G301" s="1"/>
      <c r="H301" s="2">
        <f t="shared" si="4"/>
        <v>-113.9</v>
      </c>
      <c r="I301" s="16" t="str">
        <f>TEXT(Table3[[#This Row],[Date]],"mmm")</f>
        <v>Jun</v>
      </c>
    </row>
    <row r="302" spans="1:9" x14ac:dyDescent="0.3">
      <c r="A302" s="8" t="s">
        <v>174</v>
      </c>
      <c r="B302" s="1" t="s">
        <v>320</v>
      </c>
      <c r="C302" s="1" t="s">
        <v>11</v>
      </c>
      <c r="D302" s="1" t="s">
        <v>27</v>
      </c>
      <c r="E302" s="1" t="s">
        <v>324</v>
      </c>
      <c r="F302" s="1">
        <v>132.71</v>
      </c>
      <c r="G302" s="1"/>
      <c r="H302" s="2">
        <f t="shared" si="4"/>
        <v>-132.71</v>
      </c>
      <c r="I302" s="16" t="str">
        <f>TEXT(Table3[[#This Row],[Date]],"mmm")</f>
        <v>Jun</v>
      </c>
    </row>
    <row r="303" spans="1:9" x14ac:dyDescent="0.3">
      <c r="A303" s="8" t="s">
        <v>175</v>
      </c>
      <c r="B303" s="1" t="s">
        <v>321</v>
      </c>
      <c r="C303" s="1" t="s">
        <v>10</v>
      </c>
      <c r="D303" s="1" t="s">
        <v>22</v>
      </c>
      <c r="E303" s="1" t="s">
        <v>324</v>
      </c>
      <c r="F303" s="1">
        <v>162.79</v>
      </c>
      <c r="G303" s="1"/>
      <c r="H303" s="2">
        <f t="shared" si="4"/>
        <v>-162.79</v>
      </c>
      <c r="I303" s="16" t="str">
        <f>TEXT(Table3[[#This Row],[Date]],"mmm")</f>
        <v>Jun</v>
      </c>
    </row>
    <row r="304" spans="1:9" x14ac:dyDescent="0.3">
      <c r="A304" s="8" t="s">
        <v>175</v>
      </c>
      <c r="B304" s="1" t="s">
        <v>321</v>
      </c>
      <c r="C304" s="1" t="s">
        <v>11</v>
      </c>
      <c r="D304" s="1" t="s">
        <v>20</v>
      </c>
      <c r="E304" s="1" t="s">
        <v>324</v>
      </c>
      <c r="F304" s="1">
        <v>62.3</v>
      </c>
      <c r="G304" s="1"/>
      <c r="H304" s="2">
        <f t="shared" si="4"/>
        <v>-62.3</v>
      </c>
      <c r="I304" s="16" t="str">
        <f>TEXT(Table3[[#This Row],[Date]],"mmm")</f>
        <v>Jun</v>
      </c>
    </row>
    <row r="305" spans="1:9" x14ac:dyDescent="0.3">
      <c r="A305" s="8" t="s">
        <v>176</v>
      </c>
      <c r="B305" s="1" t="s">
        <v>320</v>
      </c>
      <c r="C305" s="1" t="s">
        <v>9</v>
      </c>
      <c r="D305" s="1" t="s">
        <v>21</v>
      </c>
      <c r="E305" s="1" t="s">
        <v>324</v>
      </c>
      <c r="F305" s="1">
        <v>210.1</v>
      </c>
      <c r="G305" s="1"/>
      <c r="H305" s="2">
        <f t="shared" si="4"/>
        <v>-210.1</v>
      </c>
      <c r="I305" s="16" t="str">
        <f>TEXT(Table3[[#This Row],[Date]],"mmm")</f>
        <v>Jun</v>
      </c>
    </row>
    <row r="306" spans="1:9" x14ac:dyDescent="0.3">
      <c r="A306" s="8" t="s">
        <v>177</v>
      </c>
      <c r="B306" s="1" t="s">
        <v>320</v>
      </c>
      <c r="C306" s="1" t="s">
        <v>13</v>
      </c>
      <c r="D306" s="1" t="s">
        <v>30</v>
      </c>
      <c r="E306" s="1" t="s">
        <v>13</v>
      </c>
      <c r="F306" s="1"/>
      <c r="G306" s="1">
        <v>7461</v>
      </c>
      <c r="H306" s="2">
        <v>7461</v>
      </c>
      <c r="I306" s="16" t="str">
        <f>TEXT(Table3[[#This Row],[Date]],"mmm")</f>
        <v>Jun</v>
      </c>
    </row>
    <row r="307" spans="1:9" x14ac:dyDescent="0.3">
      <c r="A307" s="8" t="s">
        <v>177</v>
      </c>
      <c r="B307" s="1" t="s">
        <v>320</v>
      </c>
      <c r="C307" s="1" t="s">
        <v>10</v>
      </c>
      <c r="D307" s="1" t="s">
        <v>19</v>
      </c>
      <c r="E307" s="1" t="s">
        <v>324</v>
      </c>
      <c r="F307" s="1">
        <v>213.92</v>
      </c>
      <c r="G307" s="1"/>
      <c r="H307" s="2">
        <f t="shared" si="4"/>
        <v>-213.92</v>
      </c>
      <c r="I307" s="16" t="str">
        <f>TEXT(Table3[[#This Row],[Date]],"mmm")</f>
        <v>Jun</v>
      </c>
    </row>
    <row r="308" spans="1:9" x14ac:dyDescent="0.3">
      <c r="A308" s="8" t="s">
        <v>178</v>
      </c>
      <c r="B308" s="1" t="s">
        <v>320</v>
      </c>
      <c r="C308" s="1" t="s">
        <v>9</v>
      </c>
      <c r="D308" s="1" t="s">
        <v>21</v>
      </c>
      <c r="E308" s="1" t="s">
        <v>324</v>
      </c>
      <c r="F308" s="1">
        <v>35.4</v>
      </c>
      <c r="G308" s="1"/>
      <c r="H308" s="2">
        <f t="shared" si="4"/>
        <v>-35.4</v>
      </c>
      <c r="I308" s="16" t="str">
        <f>TEXT(Table3[[#This Row],[Date]],"mmm")</f>
        <v>Jul</v>
      </c>
    </row>
    <row r="309" spans="1:9" x14ac:dyDescent="0.3">
      <c r="A309" s="8" t="s">
        <v>178</v>
      </c>
      <c r="B309" s="1" t="s">
        <v>321</v>
      </c>
      <c r="C309" s="1" t="s">
        <v>10</v>
      </c>
      <c r="D309" s="1" t="s">
        <v>22</v>
      </c>
      <c r="E309" s="1" t="s">
        <v>324</v>
      </c>
      <c r="F309" s="1">
        <v>85.9</v>
      </c>
      <c r="G309" s="1"/>
      <c r="H309" s="2">
        <f t="shared" si="4"/>
        <v>-85.9</v>
      </c>
      <c r="I309" s="16" t="str">
        <f>TEXT(Table3[[#This Row],[Date]],"mmm")</f>
        <v>Jul</v>
      </c>
    </row>
    <row r="310" spans="1:9" x14ac:dyDescent="0.3">
      <c r="A310" s="8" t="s">
        <v>178</v>
      </c>
      <c r="B310" s="1" t="s">
        <v>320</v>
      </c>
      <c r="C310" s="1" t="s">
        <v>12</v>
      </c>
      <c r="D310" s="1" t="s">
        <v>29</v>
      </c>
      <c r="E310" s="1" t="s">
        <v>324</v>
      </c>
      <c r="F310" s="1">
        <v>120.22</v>
      </c>
      <c r="G310" s="1"/>
      <c r="H310" s="2">
        <f t="shared" si="4"/>
        <v>-120.22</v>
      </c>
      <c r="I310" s="16" t="str">
        <f>TEXT(Table3[[#This Row],[Date]],"mmm")</f>
        <v>Jul</v>
      </c>
    </row>
    <row r="311" spans="1:9" x14ac:dyDescent="0.3">
      <c r="A311" s="8" t="s">
        <v>179</v>
      </c>
      <c r="B311" s="1" t="s">
        <v>320</v>
      </c>
      <c r="C311" s="1" t="s">
        <v>11</v>
      </c>
      <c r="D311" s="1" t="s">
        <v>25</v>
      </c>
      <c r="E311" s="1" t="s">
        <v>324</v>
      </c>
      <c r="F311" s="1">
        <v>109.84</v>
      </c>
      <c r="G311" s="1"/>
      <c r="H311" s="2">
        <f t="shared" si="4"/>
        <v>-109.84</v>
      </c>
      <c r="I311" s="16" t="str">
        <f>TEXT(Table3[[#This Row],[Date]],"mmm")</f>
        <v>Jul</v>
      </c>
    </row>
    <row r="312" spans="1:9" x14ac:dyDescent="0.3">
      <c r="A312" s="8" t="s">
        <v>180</v>
      </c>
      <c r="B312" s="1" t="s">
        <v>321</v>
      </c>
      <c r="C312" s="1" t="s">
        <v>6</v>
      </c>
      <c r="D312" s="1" t="s">
        <v>18</v>
      </c>
      <c r="E312" s="1" t="s">
        <v>324</v>
      </c>
      <c r="F312" s="1">
        <v>170.94</v>
      </c>
      <c r="G312" s="1"/>
      <c r="H312" s="2">
        <f t="shared" si="4"/>
        <v>-170.94</v>
      </c>
      <c r="I312" s="16" t="str">
        <f>TEXT(Table3[[#This Row],[Date]],"mmm")</f>
        <v>Jul</v>
      </c>
    </row>
    <row r="313" spans="1:9" x14ac:dyDescent="0.3">
      <c r="A313" s="8" t="s">
        <v>180</v>
      </c>
      <c r="B313" s="1" t="s">
        <v>322</v>
      </c>
      <c r="C313" s="1" t="s">
        <v>12</v>
      </c>
      <c r="D313" s="1" t="s">
        <v>24</v>
      </c>
      <c r="E313" s="1" t="s">
        <v>324</v>
      </c>
      <c r="F313" s="1">
        <v>101.54</v>
      </c>
      <c r="G313" s="1"/>
      <c r="H313" s="2">
        <f t="shared" si="4"/>
        <v>-101.54</v>
      </c>
      <c r="I313" s="16" t="str">
        <f>TEXT(Table3[[#This Row],[Date]],"mmm")</f>
        <v>Jul</v>
      </c>
    </row>
    <row r="314" spans="1:9" x14ac:dyDescent="0.3">
      <c r="A314" s="8" t="s">
        <v>181</v>
      </c>
      <c r="B314" s="1" t="s">
        <v>321</v>
      </c>
      <c r="C314" s="1" t="s">
        <v>8</v>
      </c>
      <c r="D314" s="1" t="s">
        <v>28</v>
      </c>
      <c r="E314" s="1" t="s">
        <v>324</v>
      </c>
      <c r="F314" s="1">
        <v>155.47999999999999</v>
      </c>
      <c r="G314" s="1"/>
      <c r="H314" s="2">
        <f t="shared" si="4"/>
        <v>-155.47999999999999</v>
      </c>
      <c r="I314" s="16" t="str">
        <f>TEXT(Table3[[#This Row],[Date]],"mmm")</f>
        <v>Jul</v>
      </c>
    </row>
    <row r="315" spans="1:9" x14ac:dyDescent="0.3">
      <c r="A315" s="8" t="s">
        <v>182</v>
      </c>
      <c r="B315" s="1" t="s">
        <v>320</v>
      </c>
      <c r="C315" s="1" t="s">
        <v>6</v>
      </c>
      <c r="D315" s="1" t="s">
        <v>14</v>
      </c>
      <c r="E315" s="1" t="s">
        <v>324</v>
      </c>
      <c r="F315" s="1">
        <v>215.96</v>
      </c>
      <c r="G315" s="1"/>
      <c r="H315" s="2">
        <f t="shared" si="4"/>
        <v>-215.96</v>
      </c>
      <c r="I315" s="16" t="str">
        <f>TEXT(Table3[[#This Row],[Date]],"mmm")</f>
        <v>Jul</v>
      </c>
    </row>
    <row r="316" spans="1:9" x14ac:dyDescent="0.3">
      <c r="A316" s="8" t="s">
        <v>182</v>
      </c>
      <c r="B316" s="1" t="s">
        <v>320</v>
      </c>
      <c r="C316" s="1" t="s">
        <v>11</v>
      </c>
      <c r="D316" s="1" t="s">
        <v>25</v>
      </c>
      <c r="E316" s="1" t="s">
        <v>324</v>
      </c>
      <c r="F316" s="1">
        <v>189.16</v>
      </c>
      <c r="G316" s="1"/>
      <c r="H316" s="2">
        <f t="shared" si="4"/>
        <v>-189.16</v>
      </c>
      <c r="I316" s="16" t="str">
        <f>TEXT(Table3[[#This Row],[Date]],"mmm")</f>
        <v>Jul</v>
      </c>
    </row>
    <row r="317" spans="1:9" x14ac:dyDescent="0.3">
      <c r="A317" s="8" t="s">
        <v>182</v>
      </c>
      <c r="B317" s="1" t="s">
        <v>321</v>
      </c>
      <c r="C317" s="1" t="s">
        <v>12</v>
      </c>
      <c r="D317" s="1" t="s">
        <v>24</v>
      </c>
      <c r="E317" s="1" t="s">
        <v>324</v>
      </c>
      <c r="F317" s="1">
        <v>97.31</v>
      </c>
      <c r="G317" s="1"/>
      <c r="H317" s="2">
        <f t="shared" si="4"/>
        <v>-97.31</v>
      </c>
      <c r="I317" s="16" t="str">
        <f>TEXT(Table3[[#This Row],[Date]],"mmm")</f>
        <v>Jul</v>
      </c>
    </row>
    <row r="318" spans="1:9" x14ac:dyDescent="0.3">
      <c r="A318" s="8" t="s">
        <v>183</v>
      </c>
      <c r="B318" s="1" t="s">
        <v>320</v>
      </c>
      <c r="C318" s="1" t="s">
        <v>12</v>
      </c>
      <c r="D318" s="1" t="s">
        <v>29</v>
      </c>
      <c r="E318" s="1" t="s">
        <v>324</v>
      </c>
      <c r="F318" s="1">
        <v>133.41</v>
      </c>
      <c r="G318" s="1"/>
      <c r="H318" s="2">
        <f t="shared" si="4"/>
        <v>-133.41</v>
      </c>
      <c r="I318" s="16" t="str">
        <f>TEXT(Table3[[#This Row],[Date]],"mmm")</f>
        <v>Jul</v>
      </c>
    </row>
    <row r="319" spans="1:9" x14ac:dyDescent="0.3">
      <c r="A319" s="8" t="s">
        <v>183</v>
      </c>
      <c r="B319" s="1" t="s">
        <v>321</v>
      </c>
      <c r="C319" s="1" t="s">
        <v>11</v>
      </c>
      <c r="D319" s="1" t="s">
        <v>25</v>
      </c>
      <c r="E319" s="1" t="s">
        <v>324</v>
      </c>
      <c r="F319" s="1">
        <v>74.25</v>
      </c>
      <c r="G319" s="1"/>
      <c r="H319" s="2">
        <f t="shared" si="4"/>
        <v>-74.25</v>
      </c>
      <c r="I319" s="16" t="str">
        <f>TEXT(Table3[[#This Row],[Date]],"mmm")</f>
        <v>Jul</v>
      </c>
    </row>
    <row r="320" spans="1:9" x14ac:dyDescent="0.3">
      <c r="A320" s="8" t="s">
        <v>183</v>
      </c>
      <c r="B320" s="1" t="s">
        <v>320</v>
      </c>
      <c r="C320" s="1" t="s">
        <v>8</v>
      </c>
      <c r="D320" s="1" t="s">
        <v>16</v>
      </c>
      <c r="E320" s="1" t="s">
        <v>324</v>
      </c>
      <c r="F320" s="1">
        <v>171.51</v>
      </c>
      <c r="G320" s="1"/>
      <c r="H320" s="2">
        <f t="shared" si="4"/>
        <v>-171.51</v>
      </c>
      <c r="I320" s="16" t="str">
        <f>TEXT(Table3[[#This Row],[Date]],"mmm")</f>
        <v>Jul</v>
      </c>
    </row>
    <row r="321" spans="1:9" x14ac:dyDescent="0.3">
      <c r="A321" s="8" t="s">
        <v>183</v>
      </c>
      <c r="B321" s="1" t="s">
        <v>320</v>
      </c>
      <c r="C321" s="1" t="s">
        <v>12</v>
      </c>
      <c r="D321" s="1" t="s">
        <v>29</v>
      </c>
      <c r="E321" s="1" t="s">
        <v>324</v>
      </c>
      <c r="F321" s="1">
        <v>48.5</v>
      </c>
      <c r="G321" s="1"/>
      <c r="H321" s="2">
        <f t="shared" si="4"/>
        <v>-48.5</v>
      </c>
      <c r="I321" s="16" t="str">
        <f>TEXT(Table3[[#This Row],[Date]],"mmm")</f>
        <v>Jul</v>
      </c>
    </row>
    <row r="322" spans="1:9" x14ac:dyDescent="0.3">
      <c r="A322" s="8" t="s">
        <v>183</v>
      </c>
      <c r="B322" s="1" t="s">
        <v>321</v>
      </c>
      <c r="C322" s="1" t="s">
        <v>12</v>
      </c>
      <c r="D322" s="1" t="s">
        <v>29</v>
      </c>
      <c r="E322" s="1" t="s">
        <v>324</v>
      </c>
      <c r="F322" s="1">
        <v>72.959999999999994</v>
      </c>
      <c r="G322" s="1"/>
      <c r="H322" s="2">
        <f t="shared" si="4"/>
        <v>-72.959999999999994</v>
      </c>
      <c r="I322" s="16" t="str">
        <f>TEXT(Table3[[#This Row],[Date]],"mmm")</f>
        <v>Jul</v>
      </c>
    </row>
    <row r="323" spans="1:9" x14ac:dyDescent="0.3">
      <c r="A323" s="8" t="s">
        <v>183</v>
      </c>
      <c r="B323" s="1" t="s">
        <v>321</v>
      </c>
      <c r="C323" s="1" t="s">
        <v>7</v>
      </c>
      <c r="D323" s="1" t="s">
        <v>15</v>
      </c>
      <c r="E323" s="1" t="s">
        <v>324</v>
      </c>
      <c r="F323" s="1">
        <v>210.08</v>
      </c>
      <c r="G323" s="1"/>
      <c r="H323" s="2">
        <f t="shared" ref="H323:H386" si="5">F323*-1</f>
        <v>-210.08</v>
      </c>
      <c r="I323" s="16" t="str">
        <f>TEXT(Table3[[#This Row],[Date]],"mmm")</f>
        <v>Jul</v>
      </c>
    </row>
    <row r="324" spans="1:9" x14ac:dyDescent="0.3">
      <c r="A324" s="8" t="s">
        <v>184</v>
      </c>
      <c r="B324" s="1" t="s">
        <v>321</v>
      </c>
      <c r="C324" s="1" t="s">
        <v>11</v>
      </c>
      <c r="D324" s="1" t="s">
        <v>27</v>
      </c>
      <c r="E324" s="1" t="s">
        <v>324</v>
      </c>
      <c r="F324" s="1">
        <v>100.97</v>
      </c>
      <c r="G324" s="1"/>
      <c r="H324" s="2">
        <f t="shared" si="5"/>
        <v>-100.97</v>
      </c>
      <c r="I324" s="16" t="str">
        <f>TEXT(Table3[[#This Row],[Date]],"mmm")</f>
        <v>Jul</v>
      </c>
    </row>
    <row r="325" spans="1:9" x14ac:dyDescent="0.3">
      <c r="A325" s="8" t="s">
        <v>185</v>
      </c>
      <c r="B325" s="1" t="s">
        <v>321</v>
      </c>
      <c r="C325" s="1" t="s">
        <v>11</v>
      </c>
      <c r="D325" s="1" t="s">
        <v>25</v>
      </c>
      <c r="E325" s="1" t="s">
        <v>324</v>
      </c>
      <c r="F325" s="1">
        <v>101.69</v>
      </c>
      <c r="G325" s="1"/>
      <c r="H325" s="2">
        <f t="shared" si="5"/>
        <v>-101.69</v>
      </c>
      <c r="I325" s="16" t="str">
        <f>TEXT(Table3[[#This Row],[Date]],"mmm")</f>
        <v>Jul</v>
      </c>
    </row>
    <row r="326" spans="1:9" x14ac:dyDescent="0.3">
      <c r="A326" s="8" t="s">
        <v>186</v>
      </c>
      <c r="B326" s="1" t="s">
        <v>321</v>
      </c>
      <c r="C326" s="1" t="s">
        <v>6</v>
      </c>
      <c r="D326" s="1" t="s">
        <v>18</v>
      </c>
      <c r="E326" s="1" t="s">
        <v>324</v>
      </c>
      <c r="F326" s="1">
        <v>22.75</v>
      </c>
      <c r="G326" s="1"/>
      <c r="H326" s="2">
        <f t="shared" si="5"/>
        <v>-22.75</v>
      </c>
      <c r="I326" s="16" t="str">
        <f>TEXT(Table3[[#This Row],[Date]],"mmm")</f>
        <v>Jul</v>
      </c>
    </row>
    <row r="327" spans="1:9" x14ac:dyDescent="0.3">
      <c r="A327" s="8" t="s">
        <v>186</v>
      </c>
      <c r="B327" s="1" t="s">
        <v>320</v>
      </c>
      <c r="C327" s="1" t="s">
        <v>7</v>
      </c>
      <c r="D327" s="1" t="s">
        <v>23</v>
      </c>
      <c r="E327" s="1" t="s">
        <v>324</v>
      </c>
      <c r="F327" s="1">
        <v>215.68</v>
      </c>
      <c r="G327" s="1"/>
      <c r="H327" s="2">
        <f t="shared" si="5"/>
        <v>-215.68</v>
      </c>
      <c r="I327" s="16" t="str">
        <f>TEXT(Table3[[#This Row],[Date]],"mmm")</f>
        <v>Jul</v>
      </c>
    </row>
    <row r="328" spans="1:9" x14ac:dyDescent="0.3">
      <c r="A328" s="8" t="s">
        <v>187</v>
      </c>
      <c r="B328" s="1" t="s">
        <v>321</v>
      </c>
      <c r="C328" s="1" t="s">
        <v>10</v>
      </c>
      <c r="D328" s="1" t="s">
        <v>19</v>
      </c>
      <c r="E328" s="1" t="s">
        <v>324</v>
      </c>
      <c r="F328" s="1">
        <v>111.61</v>
      </c>
      <c r="G328" s="1"/>
      <c r="H328" s="2">
        <f t="shared" si="5"/>
        <v>-111.61</v>
      </c>
      <c r="I328" s="16" t="str">
        <f>TEXT(Table3[[#This Row],[Date]],"mmm")</f>
        <v>Jul</v>
      </c>
    </row>
    <row r="329" spans="1:9" x14ac:dyDescent="0.3">
      <c r="A329" s="8" t="s">
        <v>188</v>
      </c>
      <c r="B329" s="1" t="s">
        <v>320</v>
      </c>
      <c r="C329" s="1" t="s">
        <v>9</v>
      </c>
      <c r="D329" s="1" t="s">
        <v>21</v>
      </c>
      <c r="E329" s="1" t="s">
        <v>324</v>
      </c>
      <c r="F329" s="1">
        <v>231.69</v>
      </c>
      <c r="G329" s="1"/>
      <c r="H329" s="2">
        <f t="shared" si="5"/>
        <v>-231.69</v>
      </c>
      <c r="I329" s="16" t="str">
        <f>TEXT(Table3[[#This Row],[Date]],"mmm")</f>
        <v>Jul</v>
      </c>
    </row>
    <row r="330" spans="1:9" x14ac:dyDescent="0.3">
      <c r="A330" s="8" t="s">
        <v>188</v>
      </c>
      <c r="B330" s="1" t="s">
        <v>322</v>
      </c>
      <c r="C330" s="1" t="s">
        <v>12</v>
      </c>
      <c r="D330" s="1" t="s">
        <v>24</v>
      </c>
      <c r="E330" s="1" t="s">
        <v>324</v>
      </c>
      <c r="F330" s="1">
        <v>231.42</v>
      </c>
      <c r="G330" s="1"/>
      <c r="H330" s="2">
        <f t="shared" si="5"/>
        <v>-231.42</v>
      </c>
      <c r="I330" s="16" t="str">
        <f>TEXT(Table3[[#This Row],[Date]],"mmm")</f>
        <v>Jul</v>
      </c>
    </row>
    <row r="331" spans="1:9" x14ac:dyDescent="0.3">
      <c r="A331" s="8" t="s">
        <v>189</v>
      </c>
      <c r="B331" s="1" t="s">
        <v>321</v>
      </c>
      <c r="C331" s="1" t="s">
        <v>11</v>
      </c>
      <c r="D331" s="1" t="s">
        <v>27</v>
      </c>
      <c r="E331" s="1" t="s">
        <v>324</v>
      </c>
      <c r="F331" s="1">
        <v>188.43</v>
      </c>
      <c r="G331" s="1"/>
      <c r="H331" s="2">
        <f t="shared" si="5"/>
        <v>-188.43</v>
      </c>
      <c r="I331" s="16" t="str">
        <f>TEXT(Table3[[#This Row],[Date]],"mmm")</f>
        <v>Jul</v>
      </c>
    </row>
    <row r="332" spans="1:9" x14ac:dyDescent="0.3">
      <c r="A332" s="8" t="s">
        <v>189</v>
      </c>
      <c r="B332" s="1" t="s">
        <v>321</v>
      </c>
      <c r="C332" s="1" t="s">
        <v>6</v>
      </c>
      <c r="D332" s="1" t="s">
        <v>14</v>
      </c>
      <c r="E332" s="1" t="s">
        <v>324</v>
      </c>
      <c r="F332" s="1">
        <v>174.45</v>
      </c>
      <c r="G332" s="1"/>
      <c r="H332" s="2">
        <f t="shared" si="5"/>
        <v>-174.45</v>
      </c>
      <c r="I332" s="16" t="str">
        <f>TEXT(Table3[[#This Row],[Date]],"mmm")</f>
        <v>Jul</v>
      </c>
    </row>
    <row r="333" spans="1:9" x14ac:dyDescent="0.3">
      <c r="A333" s="8" t="s">
        <v>189</v>
      </c>
      <c r="B333" s="1" t="s">
        <v>320</v>
      </c>
      <c r="C333" s="1" t="s">
        <v>11</v>
      </c>
      <c r="D333" s="1" t="s">
        <v>27</v>
      </c>
      <c r="E333" s="1" t="s">
        <v>324</v>
      </c>
      <c r="F333" s="1">
        <v>94.9</v>
      </c>
      <c r="G333" s="1"/>
      <c r="H333" s="2">
        <f t="shared" si="5"/>
        <v>-94.9</v>
      </c>
      <c r="I333" s="16" t="str">
        <f>TEXT(Table3[[#This Row],[Date]],"mmm")</f>
        <v>Jul</v>
      </c>
    </row>
    <row r="334" spans="1:9" x14ac:dyDescent="0.3">
      <c r="A334" s="8" t="s">
        <v>190</v>
      </c>
      <c r="B334" s="1" t="s">
        <v>321</v>
      </c>
      <c r="C334" s="1" t="s">
        <v>11</v>
      </c>
      <c r="D334" s="1" t="s">
        <v>25</v>
      </c>
      <c r="E334" s="1" t="s">
        <v>324</v>
      </c>
      <c r="F334" s="1">
        <v>115.53</v>
      </c>
      <c r="G334" s="1"/>
      <c r="H334" s="2">
        <f t="shared" si="5"/>
        <v>-115.53</v>
      </c>
      <c r="I334" s="16" t="str">
        <f>TEXT(Table3[[#This Row],[Date]],"mmm")</f>
        <v>Jul</v>
      </c>
    </row>
    <row r="335" spans="1:9" x14ac:dyDescent="0.3">
      <c r="A335" s="8" t="s">
        <v>191</v>
      </c>
      <c r="B335" s="1" t="s">
        <v>321</v>
      </c>
      <c r="C335" s="1" t="s">
        <v>6</v>
      </c>
      <c r="D335" s="1" t="s">
        <v>14</v>
      </c>
      <c r="E335" s="1" t="s">
        <v>324</v>
      </c>
      <c r="F335" s="1">
        <v>58.25</v>
      </c>
      <c r="G335" s="1"/>
      <c r="H335" s="2">
        <f t="shared" si="5"/>
        <v>-58.25</v>
      </c>
      <c r="I335" s="16" t="str">
        <f>TEXT(Table3[[#This Row],[Date]],"mmm")</f>
        <v>Jul</v>
      </c>
    </row>
    <row r="336" spans="1:9" x14ac:dyDescent="0.3">
      <c r="A336" s="8" t="s">
        <v>191</v>
      </c>
      <c r="B336" s="1" t="s">
        <v>321</v>
      </c>
      <c r="C336" s="1" t="s">
        <v>11</v>
      </c>
      <c r="D336" s="1" t="s">
        <v>20</v>
      </c>
      <c r="E336" s="1" t="s">
        <v>324</v>
      </c>
      <c r="F336" s="1">
        <v>91.77</v>
      </c>
      <c r="G336" s="1"/>
      <c r="H336" s="2">
        <f t="shared" si="5"/>
        <v>-91.77</v>
      </c>
      <c r="I336" s="16" t="str">
        <f>TEXT(Table3[[#This Row],[Date]],"mmm")</f>
        <v>Jul</v>
      </c>
    </row>
    <row r="337" spans="1:9" x14ac:dyDescent="0.3">
      <c r="A337" s="8" t="s">
        <v>191</v>
      </c>
      <c r="B337" s="1" t="s">
        <v>321</v>
      </c>
      <c r="C337" s="1" t="s">
        <v>11</v>
      </c>
      <c r="D337" s="1" t="s">
        <v>27</v>
      </c>
      <c r="E337" s="1" t="s">
        <v>324</v>
      </c>
      <c r="F337" s="1">
        <v>13.28</v>
      </c>
      <c r="G337" s="1"/>
      <c r="H337" s="2">
        <f t="shared" si="5"/>
        <v>-13.28</v>
      </c>
      <c r="I337" s="16" t="str">
        <f>TEXT(Table3[[#This Row],[Date]],"mmm")</f>
        <v>Jul</v>
      </c>
    </row>
    <row r="338" spans="1:9" x14ac:dyDescent="0.3">
      <c r="A338" s="8" t="s">
        <v>191</v>
      </c>
      <c r="B338" s="1" t="s">
        <v>320</v>
      </c>
      <c r="C338" s="1" t="s">
        <v>11</v>
      </c>
      <c r="D338" s="1" t="s">
        <v>27</v>
      </c>
      <c r="E338" s="1" t="s">
        <v>324</v>
      </c>
      <c r="F338" s="1">
        <v>150.66</v>
      </c>
      <c r="G338" s="1"/>
      <c r="H338" s="2">
        <f t="shared" si="5"/>
        <v>-150.66</v>
      </c>
      <c r="I338" s="16" t="str">
        <f>TEXT(Table3[[#This Row],[Date]],"mmm")</f>
        <v>Jul</v>
      </c>
    </row>
    <row r="339" spans="1:9" x14ac:dyDescent="0.3">
      <c r="A339" s="8" t="s">
        <v>192</v>
      </c>
      <c r="B339" s="1" t="s">
        <v>321</v>
      </c>
      <c r="C339" s="1" t="s">
        <v>6</v>
      </c>
      <c r="D339" s="1" t="s">
        <v>14</v>
      </c>
      <c r="E339" s="1" t="s">
        <v>324</v>
      </c>
      <c r="F339" s="1">
        <v>170.68</v>
      </c>
      <c r="G339" s="1"/>
      <c r="H339" s="2">
        <f t="shared" si="5"/>
        <v>-170.68</v>
      </c>
      <c r="I339" s="16" t="str">
        <f>TEXT(Table3[[#This Row],[Date]],"mmm")</f>
        <v>Jul</v>
      </c>
    </row>
    <row r="340" spans="1:9" x14ac:dyDescent="0.3">
      <c r="A340" s="8" t="s">
        <v>192</v>
      </c>
      <c r="B340" s="1" t="s">
        <v>321</v>
      </c>
      <c r="C340" s="1" t="s">
        <v>11</v>
      </c>
      <c r="D340" s="1" t="s">
        <v>20</v>
      </c>
      <c r="E340" s="1" t="s">
        <v>324</v>
      </c>
      <c r="F340" s="1">
        <v>60.53</v>
      </c>
      <c r="G340" s="1"/>
      <c r="H340" s="2">
        <f t="shared" si="5"/>
        <v>-60.53</v>
      </c>
      <c r="I340" s="16" t="str">
        <f>TEXT(Table3[[#This Row],[Date]],"mmm")</f>
        <v>Jul</v>
      </c>
    </row>
    <row r="341" spans="1:9" x14ac:dyDescent="0.3">
      <c r="A341" s="8" t="s">
        <v>192</v>
      </c>
      <c r="B341" s="1" t="s">
        <v>321</v>
      </c>
      <c r="C341" s="1" t="s">
        <v>6</v>
      </c>
      <c r="D341" s="1" t="s">
        <v>18</v>
      </c>
      <c r="E341" s="1" t="s">
        <v>324</v>
      </c>
      <c r="F341" s="1">
        <v>11.44</v>
      </c>
      <c r="G341" s="1"/>
      <c r="H341" s="2">
        <f t="shared" si="5"/>
        <v>-11.44</v>
      </c>
      <c r="I341" s="16" t="str">
        <f>TEXT(Table3[[#This Row],[Date]],"mmm")</f>
        <v>Jul</v>
      </c>
    </row>
    <row r="342" spans="1:9" x14ac:dyDescent="0.3">
      <c r="A342" s="8" t="s">
        <v>192</v>
      </c>
      <c r="B342" s="1" t="s">
        <v>321</v>
      </c>
      <c r="C342" s="1" t="s">
        <v>6</v>
      </c>
      <c r="D342" s="1" t="s">
        <v>14</v>
      </c>
      <c r="E342" s="1" t="s">
        <v>324</v>
      </c>
      <c r="F342" s="1">
        <v>90.15</v>
      </c>
      <c r="G342" s="1"/>
      <c r="H342" s="2">
        <f t="shared" si="5"/>
        <v>-90.15</v>
      </c>
      <c r="I342" s="16" t="str">
        <f>TEXT(Table3[[#This Row],[Date]],"mmm")</f>
        <v>Jul</v>
      </c>
    </row>
    <row r="343" spans="1:9" x14ac:dyDescent="0.3">
      <c r="A343" s="8" t="s">
        <v>192</v>
      </c>
      <c r="B343" s="1" t="s">
        <v>320</v>
      </c>
      <c r="C343" s="1" t="s">
        <v>8</v>
      </c>
      <c r="D343" s="1" t="s">
        <v>26</v>
      </c>
      <c r="E343" s="1" t="s">
        <v>324</v>
      </c>
      <c r="F343" s="1">
        <v>194.86</v>
      </c>
      <c r="G343" s="1"/>
      <c r="H343" s="2">
        <f t="shared" si="5"/>
        <v>-194.86</v>
      </c>
      <c r="I343" s="16" t="str">
        <f>TEXT(Table3[[#This Row],[Date]],"mmm")</f>
        <v>Jul</v>
      </c>
    </row>
    <row r="344" spans="1:9" x14ac:dyDescent="0.3">
      <c r="A344" s="8" t="s">
        <v>193</v>
      </c>
      <c r="B344" s="1" t="s">
        <v>321</v>
      </c>
      <c r="C344" s="1" t="s">
        <v>12</v>
      </c>
      <c r="D344" s="1" t="s">
        <v>24</v>
      </c>
      <c r="E344" s="1" t="s">
        <v>324</v>
      </c>
      <c r="F344" s="1">
        <v>11.78</v>
      </c>
      <c r="G344" s="1"/>
      <c r="H344" s="2">
        <f t="shared" si="5"/>
        <v>-11.78</v>
      </c>
      <c r="I344" s="16" t="str">
        <f>TEXT(Table3[[#This Row],[Date]],"mmm")</f>
        <v>Jul</v>
      </c>
    </row>
    <row r="345" spans="1:9" x14ac:dyDescent="0.3">
      <c r="A345" s="8" t="s">
        <v>194</v>
      </c>
      <c r="B345" s="1" t="s">
        <v>320</v>
      </c>
      <c r="C345" s="1" t="s">
        <v>9</v>
      </c>
      <c r="D345" s="1" t="s">
        <v>17</v>
      </c>
      <c r="E345" s="1" t="s">
        <v>324</v>
      </c>
      <c r="F345" s="1">
        <v>154.97</v>
      </c>
      <c r="G345" s="1"/>
      <c r="H345" s="2">
        <f t="shared" si="5"/>
        <v>-154.97</v>
      </c>
      <c r="I345" s="16" t="str">
        <f>TEXT(Table3[[#This Row],[Date]],"mmm")</f>
        <v>Jul</v>
      </c>
    </row>
    <row r="346" spans="1:9" x14ac:dyDescent="0.3">
      <c r="A346" s="8" t="s">
        <v>194</v>
      </c>
      <c r="B346" s="1" t="s">
        <v>320</v>
      </c>
      <c r="C346" s="1" t="s">
        <v>12</v>
      </c>
      <c r="D346" s="1" t="s">
        <v>24</v>
      </c>
      <c r="E346" s="1" t="s">
        <v>324</v>
      </c>
      <c r="F346" s="1">
        <v>160.29</v>
      </c>
      <c r="G346" s="1"/>
      <c r="H346" s="2">
        <f t="shared" si="5"/>
        <v>-160.29</v>
      </c>
      <c r="I346" s="16" t="str">
        <f>TEXT(Table3[[#This Row],[Date]],"mmm")</f>
        <v>Jul</v>
      </c>
    </row>
    <row r="347" spans="1:9" x14ac:dyDescent="0.3">
      <c r="A347" s="8" t="s">
        <v>195</v>
      </c>
      <c r="B347" s="1" t="s">
        <v>321</v>
      </c>
      <c r="C347" s="1" t="s">
        <v>8</v>
      </c>
      <c r="D347" s="1" t="s">
        <v>28</v>
      </c>
      <c r="E347" s="1" t="s">
        <v>324</v>
      </c>
      <c r="F347" s="1">
        <v>95.88</v>
      </c>
      <c r="G347" s="1"/>
      <c r="H347" s="2">
        <f t="shared" si="5"/>
        <v>-95.88</v>
      </c>
      <c r="I347" s="16" t="str">
        <f>TEXT(Table3[[#This Row],[Date]],"mmm")</f>
        <v>Jul</v>
      </c>
    </row>
    <row r="348" spans="1:9" x14ac:dyDescent="0.3">
      <c r="A348" s="8" t="s">
        <v>196</v>
      </c>
      <c r="B348" s="1" t="s">
        <v>321</v>
      </c>
      <c r="C348" s="1" t="s">
        <v>8</v>
      </c>
      <c r="D348" s="1" t="s">
        <v>26</v>
      </c>
      <c r="E348" s="1" t="s">
        <v>324</v>
      </c>
      <c r="F348" s="1">
        <v>206.26</v>
      </c>
      <c r="G348" s="1"/>
      <c r="H348" s="2">
        <f t="shared" si="5"/>
        <v>-206.26</v>
      </c>
      <c r="I348" s="16" t="str">
        <f>TEXT(Table3[[#This Row],[Date]],"mmm")</f>
        <v>Jul</v>
      </c>
    </row>
    <row r="349" spans="1:9" x14ac:dyDescent="0.3">
      <c r="A349" s="8" t="s">
        <v>197</v>
      </c>
      <c r="B349" s="1" t="s">
        <v>320</v>
      </c>
      <c r="C349" s="1" t="s">
        <v>11</v>
      </c>
      <c r="D349" s="1" t="s">
        <v>25</v>
      </c>
      <c r="E349" s="1" t="s">
        <v>324</v>
      </c>
      <c r="F349" s="1">
        <v>183.22</v>
      </c>
      <c r="G349" s="1"/>
      <c r="H349" s="2">
        <f t="shared" si="5"/>
        <v>-183.22</v>
      </c>
      <c r="I349" s="16" t="str">
        <f>TEXT(Table3[[#This Row],[Date]],"mmm")</f>
        <v>Jul</v>
      </c>
    </row>
    <row r="350" spans="1:9" x14ac:dyDescent="0.3">
      <c r="A350" s="8" t="s">
        <v>198</v>
      </c>
      <c r="B350" s="1" t="s">
        <v>320</v>
      </c>
      <c r="C350" s="1" t="s">
        <v>7</v>
      </c>
      <c r="D350" s="1" t="s">
        <v>15</v>
      </c>
      <c r="E350" s="1" t="s">
        <v>324</v>
      </c>
      <c r="F350" s="1">
        <v>106.42</v>
      </c>
      <c r="G350" s="1"/>
      <c r="H350" s="2">
        <f t="shared" si="5"/>
        <v>-106.42</v>
      </c>
      <c r="I350" s="16" t="str">
        <f>TEXT(Table3[[#This Row],[Date]],"mmm")</f>
        <v>Jul</v>
      </c>
    </row>
    <row r="351" spans="1:9" x14ac:dyDescent="0.3">
      <c r="A351" s="8" t="s">
        <v>199</v>
      </c>
      <c r="B351" s="1" t="s">
        <v>320</v>
      </c>
      <c r="C351" s="1" t="s">
        <v>6</v>
      </c>
      <c r="D351" s="1" t="s">
        <v>18</v>
      </c>
      <c r="E351" s="1" t="s">
        <v>324</v>
      </c>
      <c r="F351" s="1">
        <v>228.35</v>
      </c>
      <c r="G351" s="1"/>
      <c r="H351" s="2">
        <f t="shared" si="5"/>
        <v>-228.35</v>
      </c>
      <c r="I351" s="16" t="str">
        <f>TEXT(Table3[[#This Row],[Date]],"mmm")</f>
        <v>Jul</v>
      </c>
    </row>
    <row r="352" spans="1:9" x14ac:dyDescent="0.3">
      <c r="A352" s="8" t="s">
        <v>199</v>
      </c>
      <c r="B352" s="1" t="s">
        <v>322</v>
      </c>
      <c r="C352" s="1" t="s">
        <v>12</v>
      </c>
      <c r="D352" s="1" t="s">
        <v>29</v>
      </c>
      <c r="E352" s="1" t="s">
        <v>324</v>
      </c>
      <c r="F352" s="1">
        <v>14.68</v>
      </c>
      <c r="G352" s="1"/>
      <c r="H352" s="2">
        <f t="shared" si="5"/>
        <v>-14.68</v>
      </c>
      <c r="I352" s="16" t="str">
        <f>TEXT(Table3[[#This Row],[Date]],"mmm")</f>
        <v>Jul</v>
      </c>
    </row>
    <row r="353" spans="1:9" x14ac:dyDescent="0.3">
      <c r="A353" s="8" t="s">
        <v>199</v>
      </c>
      <c r="B353" s="1" t="s">
        <v>320</v>
      </c>
      <c r="C353" s="1" t="s">
        <v>9</v>
      </c>
      <c r="D353" s="1" t="s">
        <v>21</v>
      </c>
      <c r="E353" s="1" t="s">
        <v>324</v>
      </c>
      <c r="F353" s="1">
        <v>174.56</v>
      </c>
      <c r="G353" s="1"/>
      <c r="H353" s="2">
        <f t="shared" si="5"/>
        <v>-174.56</v>
      </c>
      <c r="I353" s="16" t="str">
        <f>TEXT(Table3[[#This Row],[Date]],"mmm")</f>
        <v>Jul</v>
      </c>
    </row>
    <row r="354" spans="1:9" x14ac:dyDescent="0.3">
      <c r="A354" s="8" t="s">
        <v>200</v>
      </c>
      <c r="B354" s="1" t="s">
        <v>321</v>
      </c>
      <c r="C354" s="1" t="s">
        <v>8</v>
      </c>
      <c r="D354" s="1" t="s">
        <v>16</v>
      </c>
      <c r="E354" s="1" t="s">
        <v>324</v>
      </c>
      <c r="F354" s="1">
        <v>155.53</v>
      </c>
      <c r="G354" s="1"/>
      <c r="H354" s="2">
        <f t="shared" si="5"/>
        <v>-155.53</v>
      </c>
      <c r="I354" s="16" t="str">
        <f>TEXT(Table3[[#This Row],[Date]],"mmm")</f>
        <v>Jul</v>
      </c>
    </row>
    <row r="355" spans="1:9" x14ac:dyDescent="0.3">
      <c r="A355" s="8" t="s">
        <v>200</v>
      </c>
      <c r="B355" s="1" t="s">
        <v>321</v>
      </c>
      <c r="C355" s="1" t="s">
        <v>11</v>
      </c>
      <c r="D355" s="1" t="s">
        <v>25</v>
      </c>
      <c r="E355" s="1" t="s">
        <v>324</v>
      </c>
      <c r="F355" s="1">
        <v>114.12</v>
      </c>
      <c r="G355" s="1"/>
      <c r="H355" s="2">
        <f t="shared" si="5"/>
        <v>-114.12</v>
      </c>
      <c r="I355" s="16" t="str">
        <f>TEXT(Table3[[#This Row],[Date]],"mmm")</f>
        <v>Jul</v>
      </c>
    </row>
    <row r="356" spans="1:9" x14ac:dyDescent="0.3">
      <c r="A356" s="8" t="s">
        <v>200</v>
      </c>
      <c r="B356" s="1" t="s">
        <v>321</v>
      </c>
      <c r="C356" s="1" t="s">
        <v>11</v>
      </c>
      <c r="D356" s="1" t="s">
        <v>20</v>
      </c>
      <c r="E356" s="1" t="s">
        <v>324</v>
      </c>
      <c r="F356" s="1">
        <v>205.39</v>
      </c>
      <c r="G356" s="1"/>
      <c r="H356" s="2">
        <f t="shared" si="5"/>
        <v>-205.39</v>
      </c>
      <c r="I356" s="16" t="str">
        <f>TEXT(Table3[[#This Row],[Date]],"mmm")</f>
        <v>Jul</v>
      </c>
    </row>
    <row r="357" spans="1:9" x14ac:dyDescent="0.3">
      <c r="A357" s="8" t="s">
        <v>201</v>
      </c>
      <c r="B357" s="1" t="s">
        <v>321</v>
      </c>
      <c r="C357" s="1" t="s">
        <v>9</v>
      </c>
      <c r="D357" s="1" t="s">
        <v>21</v>
      </c>
      <c r="E357" s="1" t="s">
        <v>324</v>
      </c>
      <c r="F357" s="1">
        <v>167.77</v>
      </c>
      <c r="G357" s="1"/>
      <c r="H357" s="2">
        <f t="shared" si="5"/>
        <v>-167.77</v>
      </c>
      <c r="I357" s="16" t="str">
        <f>TEXT(Table3[[#This Row],[Date]],"mmm")</f>
        <v>Jul</v>
      </c>
    </row>
    <row r="358" spans="1:9" x14ac:dyDescent="0.3">
      <c r="A358" s="8" t="s">
        <v>201</v>
      </c>
      <c r="B358" s="1" t="s">
        <v>320</v>
      </c>
      <c r="C358" s="1" t="s">
        <v>13</v>
      </c>
      <c r="D358" s="1" t="s">
        <v>30</v>
      </c>
      <c r="E358" s="1" t="s">
        <v>13</v>
      </c>
      <c r="F358" s="1"/>
      <c r="G358" s="1">
        <v>7461</v>
      </c>
      <c r="H358" s="2">
        <v>7461</v>
      </c>
      <c r="I358" s="16" t="str">
        <f>TEXT(Table3[[#This Row],[Date]],"mmm")</f>
        <v>Jul</v>
      </c>
    </row>
    <row r="359" spans="1:9" x14ac:dyDescent="0.3">
      <c r="A359" s="8" t="s">
        <v>202</v>
      </c>
      <c r="B359" s="1" t="s">
        <v>321</v>
      </c>
      <c r="C359" s="1" t="s">
        <v>11</v>
      </c>
      <c r="D359" s="1" t="s">
        <v>27</v>
      </c>
      <c r="E359" s="1" t="s">
        <v>324</v>
      </c>
      <c r="F359" s="1">
        <v>229.97</v>
      </c>
      <c r="G359" s="1"/>
      <c r="H359" s="2">
        <f t="shared" si="5"/>
        <v>-229.97</v>
      </c>
      <c r="I359" s="16" t="str">
        <f>TEXT(Table3[[#This Row],[Date]],"mmm")</f>
        <v>Aug</v>
      </c>
    </row>
    <row r="360" spans="1:9" x14ac:dyDescent="0.3">
      <c r="A360" s="8" t="s">
        <v>203</v>
      </c>
      <c r="B360" s="1" t="s">
        <v>321</v>
      </c>
      <c r="C360" s="1" t="s">
        <v>10</v>
      </c>
      <c r="D360" s="1" t="s">
        <v>22</v>
      </c>
      <c r="E360" s="1" t="s">
        <v>324</v>
      </c>
      <c r="F360" s="1">
        <v>57.69</v>
      </c>
      <c r="G360" s="1"/>
      <c r="H360" s="2">
        <f t="shared" si="5"/>
        <v>-57.69</v>
      </c>
      <c r="I360" s="16" t="str">
        <f>TEXT(Table3[[#This Row],[Date]],"mmm")</f>
        <v>Aug</v>
      </c>
    </row>
    <row r="361" spans="1:9" x14ac:dyDescent="0.3">
      <c r="A361" s="8" t="s">
        <v>204</v>
      </c>
      <c r="B361" s="1" t="s">
        <v>321</v>
      </c>
      <c r="C361" s="1" t="s">
        <v>8</v>
      </c>
      <c r="D361" s="1" t="s">
        <v>26</v>
      </c>
      <c r="E361" s="1" t="s">
        <v>324</v>
      </c>
      <c r="F361" s="1">
        <v>193.38</v>
      </c>
      <c r="G361" s="1"/>
      <c r="H361" s="2">
        <f t="shared" si="5"/>
        <v>-193.38</v>
      </c>
      <c r="I361" s="16" t="str">
        <f>TEXT(Table3[[#This Row],[Date]],"mmm")</f>
        <v>Aug</v>
      </c>
    </row>
    <row r="362" spans="1:9" x14ac:dyDescent="0.3">
      <c r="A362" s="8" t="s">
        <v>205</v>
      </c>
      <c r="B362" s="1" t="s">
        <v>320</v>
      </c>
      <c r="C362" s="1" t="s">
        <v>10</v>
      </c>
      <c r="D362" s="1" t="s">
        <v>22</v>
      </c>
      <c r="E362" s="1" t="s">
        <v>324</v>
      </c>
      <c r="F362" s="1">
        <v>223.4</v>
      </c>
      <c r="G362" s="1"/>
      <c r="H362" s="2">
        <f t="shared" si="5"/>
        <v>-223.4</v>
      </c>
      <c r="I362" s="16" t="str">
        <f>TEXT(Table3[[#This Row],[Date]],"mmm")</f>
        <v>Aug</v>
      </c>
    </row>
    <row r="363" spans="1:9" x14ac:dyDescent="0.3">
      <c r="A363" s="8" t="s">
        <v>205</v>
      </c>
      <c r="B363" s="1" t="s">
        <v>321</v>
      </c>
      <c r="C363" s="1" t="s">
        <v>8</v>
      </c>
      <c r="D363" s="1" t="s">
        <v>16</v>
      </c>
      <c r="E363" s="1" t="s">
        <v>324</v>
      </c>
      <c r="F363" s="1">
        <v>151.69</v>
      </c>
      <c r="G363" s="1"/>
      <c r="H363" s="2">
        <f t="shared" si="5"/>
        <v>-151.69</v>
      </c>
      <c r="I363" s="16" t="str">
        <f>TEXT(Table3[[#This Row],[Date]],"mmm")</f>
        <v>Aug</v>
      </c>
    </row>
    <row r="364" spans="1:9" x14ac:dyDescent="0.3">
      <c r="A364" s="8" t="s">
        <v>205</v>
      </c>
      <c r="B364" s="1" t="s">
        <v>321</v>
      </c>
      <c r="C364" s="1" t="s">
        <v>8</v>
      </c>
      <c r="D364" s="1" t="s">
        <v>16</v>
      </c>
      <c r="E364" s="1" t="s">
        <v>324</v>
      </c>
      <c r="F364" s="1">
        <v>192.74</v>
      </c>
      <c r="G364" s="1"/>
      <c r="H364" s="2">
        <f t="shared" si="5"/>
        <v>-192.74</v>
      </c>
      <c r="I364" s="16" t="str">
        <f>TEXT(Table3[[#This Row],[Date]],"mmm")</f>
        <v>Aug</v>
      </c>
    </row>
    <row r="365" spans="1:9" x14ac:dyDescent="0.3">
      <c r="A365" s="8" t="s">
        <v>206</v>
      </c>
      <c r="B365" s="1" t="s">
        <v>321</v>
      </c>
      <c r="C365" s="1" t="s">
        <v>10</v>
      </c>
      <c r="D365" s="1" t="s">
        <v>22</v>
      </c>
      <c r="E365" s="1" t="s">
        <v>324</v>
      </c>
      <c r="F365" s="1">
        <v>208.03</v>
      </c>
      <c r="G365" s="1"/>
      <c r="H365" s="2">
        <f t="shared" si="5"/>
        <v>-208.03</v>
      </c>
      <c r="I365" s="16" t="str">
        <f>TEXT(Table3[[#This Row],[Date]],"mmm")</f>
        <v>Aug</v>
      </c>
    </row>
    <row r="366" spans="1:9" x14ac:dyDescent="0.3">
      <c r="A366" s="8" t="s">
        <v>206</v>
      </c>
      <c r="B366" s="1" t="s">
        <v>320</v>
      </c>
      <c r="C366" s="1" t="s">
        <v>8</v>
      </c>
      <c r="D366" s="1" t="s">
        <v>28</v>
      </c>
      <c r="E366" s="1" t="s">
        <v>324</v>
      </c>
      <c r="F366" s="1">
        <v>47.4</v>
      </c>
      <c r="G366" s="1"/>
      <c r="H366" s="2">
        <f t="shared" si="5"/>
        <v>-47.4</v>
      </c>
      <c r="I366" s="16" t="str">
        <f>TEXT(Table3[[#This Row],[Date]],"mmm")</f>
        <v>Aug</v>
      </c>
    </row>
    <row r="367" spans="1:9" x14ac:dyDescent="0.3">
      <c r="A367" s="8" t="s">
        <v>206</v>
      </c>
      <c r="B367" s="1" t="s">
        <v>321</v>
      </c>
      <c r="C367" s="1" t="s">
        <v>8</v>
      </c>
      <c r="D367" s="1" t="s">
        <v>16</v>
      </c>
      <c r="E367" s="1" t="s">
        <v>324</v>
      </c>
      <c r="F367" s="1">
        <v>237.42</v>
      </c>
      <c r="G367" s="1"/>
      <c r="H367" s="2">
        <f t="shared" si="5"/>
        <v>-237.42</v>
      </c>
      <c r="I367" s="16" t="str">
        <f>TEXT(Table3[[#This Row],[Date]],"mmm")</f>
        <v>Aug</v>
      </c>
    </row>
    <row r="368" spans="1:9" x14ac:dyDescent="0.3">
      <c r="A368" s="8" t="s">
        <v>206</v>
      </c>
      <c r="B368" s="1" t="s">
        <v>321</v>
      </c>
      <c r="C368" s="1" t="s">
        <v>6</v>
      </c>
      <c r="D368" s="1" t="s">
        <v>14</v>
      </c>
      <c r="E368" s="1" t="s">
        <v>324</v>
      </c>
      <c r="F368" s="1">
        <v>131.94</v>
      </c>
      <c r="G368" s="1"/>
      <c r="H368" s="2">
        <f t="shared" si="5"/>
        <v>-131.94</v>
      </c>
      <c r="I368" s="16" t="str">
        <f>TEXT(Table3[[#This Row],[Date]],"mmm")</f>
        <v>Aug</v>
      </c>
    </row>
    <row r="369" spans="1:9" x14ac:dyDescent="0.3">
      <c r="A369" s="8" t="s">
        <v>207</v>
      </c>
      <c r="B369" s="1" t="s">
        <v>320</v>
      </c>
      <c r="C369" s="1" t="s">
        <v>10</v>
      </c>
      <c r="D369" s="1" t="s">
        <v>19</v>
      </c>
      <c r="E369" s="1" t="s">
        <v>324</v>
      </c>
      <c r="F369" s="1">
        <v>56.58</v>
      </c>
      <c r="G369" s="1"/>
      <c r="H369" s="2">
        <f t="shared" si="5"/>
        <v>-56.58</v>
      </c>
      <c r="I369" s="16" t="str">
        <f>TEXT(Table3[[#This Row],[Date]],"mmm")</f>
        <v>Aug</v>
      </c>
    </row>
    <row r="370" spans="1:9" x14ac:dyDescent="0.3">
      <c r="A370" s="8" t="s">
        <v>207</v>
      </c>
      <c r="B370" s="1" t="s">
        <v>321</v>
      </c>
      <c r="C370" s="1" t="s">
        <v>6</v>
      </c>
      <c r="D370" s="1" t="s">
        <v>18</v>
      </c>
      <c r="E370" s="1" t="s">
        <v>324</v>
      </c>
      <c r="F370" s="1">
        <v>93.9</v>
      </c>
      <c r="G370" s="1"/>
      <c r="H370" s="2">
        <f t="shared" si="5"/>
        <v>-93.9</v>
      </c>
      <c r="I370" s="16" t="str">
        <f>TEXT(Table3[[#This Row],[Date]],"mmm")</f>
        <v>Aug</v>
      </c>
    </row>
    <row r="371" spans="1:9" x14ac:dyDescent="0.3">
      <c r="A371" s="8" t="s">
        <v>207</v>
      </c>
      <c r="B371" s="1" t="s">
        <v>320</v>
      </c>
      <c r="C371" s="1" t="s">
        <v>8</v>
      </c>
      <c r="D371" s="1" t="s">
        <v>28</v>
      </c>
      <c r="E371" s="1" t="s">
        <v>324</v>
      </c>
      <c r="F371" s="1">
        <v>76.23</v>
      </c>
      <c r="G371" s="1"/>
      <c r="H371" s="2">
        <f t="shared" si="5"/>
        <v>-76.23</v>
      </c>
      <c r="I371" s="16" t="str">
        <f>TEXT(Table3[[#This Row],[Date]],"mmm")</f>
        <v>Aug</v>
      </c>
    </row>
    <row r="372" spans="1:9" x14ac:dyDescent="0.3">
      <c r="A372" s="8" t="s">
        <v>207</v>
      </c>
      <c r="B372" s="1" t="s">
        <v>320</v>
      </c>
      <c r="C372" s="1" t="s">
        <v>11</v>
      </c>
      <c r="D372" s="1" t="s">
        <v>25</v>
      </c>
      <c r="E372" s="1" t="s">
        <v>324</v>
      </c>
      <c r="F372" s="1">
        <v>73.42</v>
      </c>
      <c r="G372" s="1"/>
      <c r="H372" s="2">
        <f t="shared" si="5"/>
        <v>-73.42</v>
      </c>
      <c r="I372" s="16" t="str">
        <f>TEXT(Table3[[#This Row],[Date]],"mmm")</f>
        <v>Aug</v>
      </c>
    </row>
    <row r="373" spans="1:9" x14ac:dyDescent="0.3">
      <c r="A373" s="8" t="s">
        <v>207</v>
      </c>
      <c r="B373" s="1" t="s">
        <v>321</v>
      </c>
      <c r="C373" s="1" t="s">
        <v>7</v>
      </c>
      <c r="D373" s="1" t="s">
        <v>15</v>
      </c>
      <c r="E373" s="1" t="s">
        <v>324</v>
      </c>
      <c r="F373" s="1">
        <v>230.42</v>
      </c>
      <c r="G373" s="1"/>
      <c r="H373" s="2">
        <f t="shared" si="5"/>
        <v>-230.42</v>
      </c>
      <c r="I373" s="16" t="str">
        <f>TEXT(Table3[[#This Row],[Date]],"mmm")</f>
        <v>Aug</v>
      </c>
    </row>
    <row r="374" spans="1:9" x14ac:dyDescent="0.3">
      <c r="A374" s="8" t="s">
        <v>208</v>
      </c>
      <c r="B374" s="1" t="s">
        <v>320</v>
      </c>
      <c r="C374" s="1" t="s">
        <v>8</v>
      </c>
      <c r="D374" s="1" t="s">
        <v>28</v>
      </c>
      <c r="E374" s="1" t="s">
        <v>324</v>
      </c>
      <c r="F374" s="1">
        <v>93.98</v>
      </c>
      <c r="G374" s="1"/>
      <c r="H374" s="2">
        <f t="shared" si="5"/>
        <v>-93.98</v>
      </c>
      <c r="I374" s="16" t="str">
        <f>TEXT(Table3[[#This Row],[Date]],"mmm")</f>
        <v>Aug</v>
      </c>
    </row>
    <row r="375" spans="1:9" x14ac:dyDescent="0.3">
      <c r="A375" s="8" t="s">
        <v>208</v>
      </c>
      <c r="B375" s="1" t="s">
        <v>321</v>
      </c>
      <c r="C375" s="1" t="s">
        <v>8</v>
      </c>
      <c r="D375" s="1" t="s">
        <v>26</v>
      </c>
      <c r="E375" s="1" t="s">
        <v>324</v>
      </c>
      <c r="F375" s="1">
        <v>69.900000000000006</v>
      </c>
      <c r="G375" s="1"/>
      <c r="H375" s="2">
        <f t="shared" si="5"/>
        <v>-69.900000000000006</v>
      </c>
      <c r="I375" s="16" t="str">
        <f>TEXT(Table3[[#This Row],[Date]],"mmm")</f>
        <v>Aug</v>
      </c>
    </row>
    <row r="376" spans="1:9" x14ac:dyDescent="0.3">
      <c r="A376" s="8" t="s">
        <v>208</v>
      </c>
      <c r="B376" s="1" t="s">
        <v>320</v>
      </c>
      <c r="C376" s="1" t="s">
        <v>10</v>
      </c>
      <c r="D376" s="1" t="s">
        <v>22</v>
      </c>
      <c r="E376" s="1" t="s">
        <v>324</v>
      </c>
      <c r="F376" s="1">
        <v>128.57</v>
      </c>
      <c r="G376" s="1"/>
      <c r="H376" s="2">
        <f t="shared" si="5"/>
        <v>-128.57</v>
      </c>
      <c r="I376" s="16" t="str">
        <f>TEXT(Table3[[#This Row],[Date]],"mmm")</f>
        <v>Aug</v>
      </c>
    </row>
    <row r="377" spans="1:9" x14ac:dyDescent="0.3">
      <c r="A377" s="8" t="s">
        <v>209</v>
      </c>
      <c r="B377" s="1" t="s">
        <v>321</v>
      </c>
      <c r="C377" s="1" t="s">
        <v>6</v>
      </c>
      <c r="D377" s="1" t="s">
        <v>18</v>
      </c>
      <c r="E377" s="1" t="s">
        <v>324</v>
      </c>
      <c r="F377" s="1">
        <v>152.84</v>
      </c>
      <c r="G377" s="1"/>
      <c r="H377" s="2">
        <f t="shared" si="5"/>
        <v>-152.84</v>
      </c>
      <c r="I377" s="16" t="str">
        <f>TEXT(Table3[[#This Row],[Date]],"mmm")</f>
        <v>Aug</v>
      </c>
    </row>
    <row r="378" spans="1:9" x14ac:dyDescent="0.3">
      <c r="A378" s="8" t="s">
        <v>210</v>
      </c>
      <c r="B378" s="1" t="s">
        <v>320</v>
      </c>
      <c r="C378" s="1" t="s">
        <v>9</v>
      </c>
      <c r="D378" s="1" t="s">
        <v>17</v>
      </c>
      <c r="E378" s="1" t="s">
        <v>324</v>
      </c>
      <c r="F378" s="1">
        <v>40.17</v>
      </c>
      <c r="G378" s="1"/>
      <c r="H378" s="2">
        <f t="shared" si="5"/>
        <v>-40.17</v>
      </c>
      <c r="I378" s="16" t="str">
        <f>TEXT(Table3[[#This Row],[Date]],"mmm")</f>
        <v>Aug</v>
      </c>
    </row>
    <row r="379" spans="1:9" x14ac:dyDescent="0.3">
      <c r="A379" s="8" t="s">
        <v>211</v>
      </c>
      <c r="B379" s="1" t="s">
        <v>321</v>
      </c>
      <c r="C379" s="1" t="s">
        <v>10</v>
      </c>
      <c r="D379" s="1" t="s">
        <v>22</v>
      </c>
      <c r="E379" s="1" t="s">
        <v>324</v>
      </c>
      <c r="F379" s="1">
        <v>151.02000000000001</v>
      </c>
      <c r="G379" s="1"/>
      <c r="H379" s="2">
        <f t="shared" si="5"/>
        <v>-151.02000000000001</v>
      </c>
      <c r="I379" s="16" t="str">
        <f>TEXT(Table3[[#This Row],[Date]],"mmm")</f>
        <v>Aug</v>
      </c>
    </row>
    <row r="380" spans="1:9" x14ac:dyDescent="0.3">
      <c r="A380" s="8" t="s">
        <v>211</v>
      </c>
      <c r="B380" s="1" t="s">
        <v>321</v>
      </c>
      <c r="C380" s="1" t="s">
        <v>7</v>
      </c>
      <c r="D380" s="1" t="s">
        <v>23</v>
      </c>
      <c r="E380" s="1" t="s">
        <v>324</v>
      </c>
      <c r="F380" s="1">
        <v>216.68</v>
      </c>
      <c r="G380" s="1"/>
      <c r="H380" s="2">
        <f t="shared" si="5"/>
        <v>-216.68</v>
      </c>
      <c r="I380" s="16" t="str">
        <f>TEXT(Table3[[#This Row],[Date]],"mmm")</f>
        <v>Aug</v>
      </c>
    </row>
    <row r="381" spans="1:9" x14ac:dyDescent="0.3">
      <c r="A381" s="8" t="s">
        <v>212</v>
      </c>
      <c r="B381" s="1" t="s">
        <v>321</v>
      </c>
      <c r="C381" s="1" t="s">
        <v>11</v>
      </c>
      <c r="D381" s="1" t="s">
        <v>27</v>
      </c>
      <c r="E381" s="1" t="s">
        <v>324</v>
      </c>
      <c r="F381" s="1">
        <v>120.07</v>
      </c>
      <c r="G381" s="1"/>
      <c r="H381" s="2">
        <f t="shared" si="5"/>
        <v>-120.07</v>
      </c>
      <c r="I381" s="16" t="str">
        <f>TEXT(Table3[[#This Row],[Date]],"mmm")</f>
        <v>Aug</v>
      </c>
    </row>
    <row r="382" spans="1:9" x14ac:dyDescent="0.3">
      <c r="A382" s="8" t="s">
        <v>212</v>
      </c>
      <c r="B382" s="1" t="s">
        <v>321</v>
      </c>
      <c r="C382" s="1" t="s">
        <v>7</v>
      </c>
      <c r="D382" s="1" t="s">
        <v>15</v>
      </c>
      <c r="E382" s="1" t="s">
        <v>324</v>
      </c>
      <c r="F382" s="1">
        <v>231.69</v>
      </c>
      <c r="G382" s="1"/>
      <c r="H382" s="2">
        <f t="shared" si="5"/>
        <v>-231.69</v>
      </c>
      <c r="I382" s="16" t="str">
        <f>TEXT(Table3[[#This Row],[Date]],"mmm")</f>
        <v>Aug</v>
      </c>
    </row>
    <row r="383" spans="1:9" x14ac:dyDescent="0.3">
      <c r="A383" s="8" t="s">
        <v>212</v>
      </c>
      <c r="B383" s="1" t="s">
        <v>321</v>
      </c>
      <c r="C383" s="1" t="s">
        <v>11</v>
      </c>
      <c r="D383" s="1" t="s">
        <v>27</v>
      </c>
      <c r="E383" s="1" t="s">
        <v>324</v>
      </c>
      <c r="F383" s="1">
        <v>174.74</v>
      </c>
      <c r="G383" s="1"/>
      <c r="H383" s="2">
        <f t="shared" si="5"/>
        <v>-174.74</v>
      </c>
      <c r="I383" s="16" t="str">
        <f>TEXT(Table3[[#This Row],[Date]],"mmm")</f>
        <v>Aug</v>
      </c>
    </row>
    <row r="384" spans="1:9" x14ac:dyDescent="0.3">
      <c r="A384" s="8" t="s">
        <v>213</v>
      </c>
      <c r="B384" s="1" t="s">
        <v>321</v>
      </c>
      <c r="C384" s="1" t="s">
        <v>7</v>
      </c>
      <c r="D384" s="1" t="s">
        <v>23</v>
      </c>
      <c r="E384" s="1" t="s">
        <v>324</v>
      </c>
      <c r="F384" s="1">
        <v>117.9</v>
      </c>
      <c r="G384" s="1"/>
      <c r="H384" s="2">
        <f t="shared" si="5"/>
        <v>-117.9</v>
      </c>
      <c r="I384" s="16" t="str">
        <f>TEXT(Table3[[#This Row],[Date]],"mmm")</f>
        <v>Aug</v>
      </c>
    </row>
    <row r="385" spans="1:9" x14ac:dyDescent="0.3">
      <c r="A385" s="8" t="s">
        <v>213</v>
      </c>
      <c r="B385" s="1" t="s">
        <v>321</v>
      </c>
      <c r="C385" s="1" t="s">
        <v>8</v>
      </c>
      <c r="D385" s="1" t="s">
        <v>26</v>
      </c>
      <c r="E385" s="1" t="s">
        <v>324</v>
      </c>
      <c r="F385" s="1">
        <v>27.37</v>
      </c>
      <c r="G385" s="1"/>
      <c r="H385" s="2">
        <f t="shared" si="5"/>
        <v>-27.37</v>
      </c>
      <c r="I385" s="16" t="str">
        <f>TEXT(Table3[[#This Row],[Date]],"mmm")</f>
        <v>Aug</v>
      </c>
    </row>
    <row r="386" spans="1:9" x14ac:dyDescent="0.3">
      <c r="A386" s="8" t="s">
        <v>213</v>
      </c>
      <c r="B386" s="1" t="s">
        <v>320</v>
      </c>
      <c r="C386" s="1" t="s">
        <v>7</v>
      </c>
      <c r="D386" s="1" t="s">
        <v>15</v>
      </c>
      <c r="E386" s="1" t="s">
        <v>324</v>
      </c>
      <c r="F386" s="1">
        <v>22.66</v>
      </c>
      <c r="G386" s="1"/>
      <c r="H386" s="2">
        <f t="shared" si="5"/>
        <v>-22.66</v>
      </c>
      <c r="I386" s="16" t="str">
        <f>TEXT(Table3[[#This Row],[Date]],"mmm")</f>
        <v>Aug</v>
      </c>
    </row>
    <row r="387" spans="1:9" x14ac:dyDescent="0.3">
      <c r="A387" s="8" t="s">
        <v>214</v>
      </c>
      <c r="B387" s="1" t="s">
        <v>321</v>
      </c>
      <c r="C387" s="1" t="s">
        <v>11</v>
      </c>
      <c r="D387" s="1" t="s">
        <v>27</v>
      </c>
      <c r="E387" s="1" t="s">
        <v>324</v>
      </c>
      <c r="F387" s="1">
        <v>82.1</v>
      </c>
      <c r="G387" s="1"/>
      <c r="H387" s="2">
        <f t="shared" ref="H387:H450" si="6">F387*-1</f>
        <v>-82.1</v>
      </c>
      <c r="I387" s="16" t="str">
        <f>TEXT(Table3[[#This Row],[Date]],"mmm")</f>
        <v>Aug</v>
      </c>
    </row>
    <row r="388" spans="1:9" x14ac:dyDescent="0.3">
      <c r="A388" s="8" t="s">
        <v>214</v>
      </c>
      <c r="B388" s="1" t="s">
        <v>321</v>
      </c>
      <c r="C388" s="1" t="s">
        <v>7</v>
      </c>
      <c r="D388" s="1" t="s">
        <v>15</v>
      </c>
      <c r="E388" s="1" t="s">
        <v>324</v>
      </c>
      <c r="F388" s="1">
        <v>209.9</v>
      </c>
      <c r="G388" s="1"/>
      <c r="H388" s="2">
        <f t="shared" si="6"/>
        <v>-209.9</v>
      </c>
      <c r="I388" s="16" t="str">
        <f>TEXT(Table3[[#This Row],[Date]],"mmm")</f>
        <v>Aug</v>
      </c>
    </row>
    <row r="389" spans="1:9" x14ac:dyDescent="0.3">
      <c r="A389" s="8" t="s">
        <v>214</v>
      </c>
      <c r="B389" s="1" t="s">
        <v>320</v>
      </c>
      <c r="C389" s="1" t="s">
        <v>10</v>
      </c>
      <c r="D389" s="1" t="s">
        <v>22</v>
      </c>
      <c r="E389" s="1" t="s">
        <v>324</v>
      </c>
      <c r="F389" s="1">
        <v>138.18</v>
      </c>
      <c r="G389" s="1"/>
      <c r="H389" s="2">
        <f t="shared" si="6"/>
        <v>-138.18</v>
      </c>
      <c r="I389" s="16" t="str">
        <f>TEXT(Table3[[#This Row],[Date]],"mmm")</f>
        <v>Aug</v>
      </c>
    </row>
    <row r="390" spans="1:9" x14ac:dyDescent="0.3">
      <c r="A390" s="8" t="s">
        <v>215</v>
      </c>
      <c r="B390" s="1" t="s">
        <v>321</v>
      </c>
      <c r="C390" s="1" t="s">
        <v>6</v>
      </c>
      <c r="D390" s="1" t="s">
        <v>18</v>
      </c>
      <c r="E390" s="1" t="s">
        <v>324</v>
      </c>
      <c r="F390" s="1">
        <v>110.42</v>
      </c>
      <c r="G390" s="1"/>
      <c r="H390" s="2">
        <f t="shared" si="6"/>
        <v>-110.42</v>
      </c>
      <c r="I390" s="16" t="str">
        <f>TEXT(Table3[[#This Row],[Date]],"mmm")</f>
        <v>Aug</v>
      </c>
    </row>
    <row r="391" spans="1:9" x14ac:dyDescent="0.3">
      <c r="A391" s="8" t="s">
        <v>215</v>
      </c>
      <c r="B391" s="1" t="s">
        <v>320</v>
      </c>
      <c r="C391" s="1" t="s">
        <v>6</v>
      </c>
      <c r="D391" s="1" t="s">
        <v>18</v>
      </c>
      <c r="E391" s="1" t="s">
        <v>324</v>
      </c>
      <c r="F391" s="1">
        <v>161.75</v>
      </c>
      <c r="G391" s="1"/>
      <c r="H391" s="2">
        <f t="shared" si="6"/>
        <v>-161.75</v>
      </c>
      <c r="I391" s="16" t="str">
        <f>TEXT(Table3[[#This Row],[Date]],"mmm")</f>
        <v>Aug</v>
      </c>
    </row>
    <row r="392" spans="1:9" x14ac:dyDescent="0.3">
      <c r="A392" s="8" t="s">
        <v>216</v>
      </c>
      <c r="B392" s="1" t="s">
        <v>320</v>
      </c>
      <c r="C392" s="1" t="s">
        <v>7</v>
      </c>
      <c r="D392" s="1" t="s">
        <v>23</v>
      </c>
      <c r="E392" s="1" t="s">
        <v>324</v>
      </c>
      <c r="F392" s="1">
        <v>188.12</v>
      </c>
      <c r="G392" s="1"/>
      <c r="H392" s="2">
        <f t="shared" si="6"/>
        <v>-188.12</v>
      </c>
      <c r="I392" s="16" t="str">
        <f>TEXT(Table3[[#This Row],[Date]],"mmm")</f>
        <v>Aug</v>
      </c>
    </row>
    <row r="393" spans="1:9" x14ac:dyDescent="0.3">
      <c r="A393" s="8" t="s">
        <v>217</v>
      </c>
      <c r="B393" s="1" t="s">
        <v>320</v>
      </c>
      <c r="C393" s="1" t="s">
        <v>6</v>
      </c>
      <c r="D393" s="1" t="s">
        <v>14</v>
      </c>
      <c r="E393" s="1" t="s">
        <v>324</v>
      </c>
      <c r="F393" s="1">
        <v>215.69</v>
      </c>
      <c r="G393" s="1"/>
      <c r="H393" s="2">
        <f t="shared" si="6"/>
        <v>-215.69</v>
      </c>
      <c r="I393" s="16" t="str">
        <f>TEXT(Table3[[#This Row],[Date]],"mmm")</f>
        <v>Aug</v>
      </c>
    </row>
    <row r="394" spans="1:9" x14ac:dyDescent="0.3">
      <c r="A394" s="8" t="s">
        <v>217</v>
      </c>
      <c r="B394" s="1" t="s">
        <v>321</v>
      </c>
      <c r="C394" s="1" t="s">
        <v>8</v>
      </c>
      <c r="D394" s="1" t="s">
        <v>16</v>
      </c>
      <c r="E394" s="1" t="s">
        <v>324</v>
      </c>
      <c r="F394" s="1">
        <v>46.38</v>
      </c>
      <c r="G394" s="1"/>
      <c r="H394" s="2">
        <f t="shared" si="6"/>
        <v>-46.38</v>
      </c>
      <c r="I394" s="16" t="str">
        <f>TEXT(Table3[[#This Row],[Date]],"mmm")</f>
        <v>Aug</v>
      </c>
    </row>
    <row r="395" spans="1:9" x14ac:dyDescent="0.3">
      <c r="A395" s="8" t="s">
        <v>218</v>
      </c>
      <c r="B395" s="1" t="s">
        <v>320</v>
      </c>
      <c r="C395" s="1" t="s">
        <v>8</v>
      </c>
      <c r="D395" s="1" t="s">
        <v>26</v>
      </c>
      <c r="E395" s="1" t="s">
        <v>324</v>
      </c>
      <c r="F395" s="1">
        <v>146.61000000000001</v>
      </c>
      <c r="G395" s="1"/>
      <c r="H395" s="2">
        <f t="shared" si="6"/>
        <v>-146.61000000000001</v>
      </c>
      <c r="I395" s="16" t="str">
        <f>TEXT(Table3[[#This Row],[Date]],"mmm")</f>
        <v>Aug</v>
      </c>
    </row>
    <row r="396" spans="1:9" x14ac:dyDescent="0.3">
      <c r="A396" s="8" t="s">
        <v>219</v>
      </c>
      <c r="B396" s="1" t="s">
        <v>320</v>
      </c>
      <c r="C396" s="1" t="s">
        <v>9</v>
      </c>
      <c r="D396" s="1" t="s">
        <v>17</v>
      </c>
      <c r="E396" s="1" t="s">
        <v>324</v>
      </c>
      <c r="F396" s="1">
        <v>63.87</v>
      </c>
      <c r="G396" s="1"/>
      <c r="H396" s="2">
        <f t="shared" si="6"/>
        <v>-63.87</v>
      </c>
      <c r="I396" s="16" t="str">
        <f>TEXT(Table3[[#This Row],[Date]],"mmm")</f>
        <v>Aug</v>
      </c>
    </row>
    <row r="397" spans="1:9" x14ac:dyDescent="0.3">
      <c r="A397" s="8" t="s">
        <v>219</v>
      </c>
      <c r="B397" s="1" t="s">
        <v>321</v>
      </c>
      <c r="C397" s="1" t="s">
        <v>7</v>
      </c>
      <c r="D397" s="1" t="s">
        <v>23</v>
      </c>
      <c r="E397" s="1" t="s">
        <v>324</v>
      </c>
      <c r="F397" s="1">
        <v>198.72</v>
      </c>
      <c r="G397" s="1"/>
      <c r="H397" s="2">
        <f t="shared" si="6"/>
        <v>-198.72</v>
      </c>
      <c r="I397" s="16" t="str">
        <f>TEXT(Table3[[#This Row],[Date]],"mmm")</f>
        <v>Aug</v>
      </c>
    </row>
    <row r="398" spans="1:9" x14ac:dyDescent="0.3">
      <c r="A398" s="8" t="s">
        <v>219</v>
      </c>
      <c r="B398" s="1" t="s">
        <v>320</v>
      </c>
      <c r="C398" s="1" t="s">
        <v>11</v>
      </c>
      <c r="D398" s="1" t="s">
        <v>20</v>
      </c>
      <c r="E398" s="1" t="s">
        <v>324</v>
      </c>
      <c r="F398" s="1">
        <v>56.16</v>
      </c>
      <c r="G398" s="1"/>
      <c r="H398" s="2">
        <f t="shared" si="6"/>
        <v>-56.16</v>
      </c>
      <c r="I398" s="16" t="str">
        <f>TEXT(Table3[[#This Row],[Date]],"mmm")</f>
        <v>Aug</v>
      </c>
    </row>
    <row r="399" spans="1:9" x14ac:dyDescent="0.3">
      <c r="A399" s="8" t="s">
        <v>220</v>
      </c>
      <c r="B399" s="1" t="s">
        <v>320</v>
      </c>
      <c r="C399" s="1" t="s">
        <v>11</v>
      </c>
      <c r="D399" s="1" t="s">
        <v>27</v>
      </c>
      <c r="E399" s="1" t="s">
        <v>324</v>
      </c>
      <c r="F399" s="1">
        <v>232.21</v>
      </c>
      <c r="G399" s="1"/>
      <c r="H399" s="2">
        <f t="shared" si="6"/>
        <v>-232.21</v>
      </c>
      <c r="I399" s="16" t="str">
        <f>TEXT(Table3[[#This Row],[Date]],"mmm")</f>
        <v>Aug</v>
      </c>
    </row>
    <row r="400" spans="1:9" x14ac:dyDescent="0.3">
      <c r="A400" s="8" t="s">
        <v>220</v>
      </c>
      <c r="B400" s="1" t="s">
        <v>320</v>
      </c>
      <c r="C400" s="1" t="s">
        <v>6</v>
      </c>
      <c r="D400" s="1" t="s">
        <v>14</v>
      </c>
      <c r="E400" s="1" t="s">
        <v>324</v>
      </c>
      <c r="F400" s="1">
        <v>77.790000000000006</v>
      </c>
      <c r="G400" s="1"/>
      <c r="H400" s="2">
        <f t="shared" si="6"/>
        <v>-77.790000000000006</v>
      </c>
      <c r="I400" s="16" t="str">
        <f>TEXT(Table3[[#This Row],[Date]],"mmm")</f>
        <v>Aug</v>
      </c>
    </row>
    <row r="401" spans="1:9" x14ac:dyDescent="0.3">
      <c r="A401" s="8" t="s">
        <v>220</v>
      </c>
      <c r="B401" s="1" t="s">
        <v>321</v>
      </c>
      <c r="C401" s="1" t="s">
        <v>7</v>
      </c>
      <c r="D401" s="1" t="s">
        <v>15</v>
      </c>
      <c r="E401" s="1" t="s">
        <v>324</v>
      </c>
      <c r="F401" s="1">
        <v>124.11</v>
      </c>
      <c r="G401" s="1"/>
      <c r="H401" s="2">
        <f t="shared" si="6"/>
        <v>-124.11</v>
      </c>
      <c r="I401" s="16" t="str">
        <f>TEXT(Table3[[#This Row],[Date]],"mmm")</f>
        <v>Aug</v>
      </c>
    </row>
    <row r="402" spans="1:9" x14ac:dyDescent="0.3">
      <c r="A402" s="8" t="s">
        <v>221</v>
      </c>
      <c r="B402" s="1" t="s">
        <v>320</v>
      </c>
      <c r="C402" s="1" t="s">
        <v>11</v>
      </c>
      <c r="D402" s="1" t="s">
        <v>25</v>
      </c>
      <c r="E402" s="1" t="s">
        <v>324</v>
      </c>
      <c r="F402" s="1">
        <v>138.75</v>
      </c>
      <c r="G402" s="1"/>
      <c r="H402" s="2">
        <f t="shared" si="6"/>
        <v>-138.75</v>
      </c>
      <c r="I402" s="16" t="str">
        <f>TEXT(Table3[[#This Row],[Date]],"mmm")</f>
        <v>Aug</v>
      </c>
    </row>
    <row r="403" spans="1:9" x14ac:dyDescent="0.3">
      <c r="A403" s="8" t="s">
        <v>221</v>
      </c>
      <c r="B403" s="1" t="s">
        <v>320</v>
      </c>
      <c r="C403" s="1" t="s">
        <v>8</v>
      </c>
      <c r="D403" s="1" t="s">
        <v>16</v>
      </c>
      <c r="E403" s="1" t="s">
        <v>324</v>
      </c>
      <c r="F403" s="1">
        <v>51.54</v>
      </c>
      <c r="G403" s="1"/>
      <c r="H403" s="2">
        <f t="shared" si="6"/>
        <v>-51.54</v>
      </c>
      <c r="I403" s="16" t="str">
        <f>TEXT(Table3[[#This Row],[Date]],"mmm")</f>
        <v>Aug</v>
      </c>
    </row>
    <row r="404" spans="1:9" x14ac:dyDescent="0.3">
      <c r="A404" s="8" t="s">
        <v>222</v>
      </c>
      <c r="B404" s="1" t="s">
        <v>320</v>
      </c>
      <c r="C404" s="1" t="s">
        <v>9</v>
      </c>
      <c r="D404" s="1" t="s">
        <v>21</v>
      </c>
      <c r="E404" s="1" t="s">
        <v>324</v>
      </c>
      <c r="F404" s="1">
        <v>101.01</v>
      </c>
      <c r="G404" s="1"/>
      <c r="H404" s="2">
        <f t="shared" si="6"/>
        <v>-101.01</v>
      </c>
      <c r="I404" s="16" t="str">
        <f>TEXT(Table3[[#This Row],[Date]],"mmm")</f>
        <v>Aug</v>
      </c>
    </row>
    <row r="405" spans="1:9" x14ac:dyDescent="0.3">
      <c r="A405" s="8" t="s">
        <v>222</v>
      </c>
      <c r="B405" s="1" t="s">
        <v>320</v>
      </c>
      <c r="C405" s="1" t="s">
        <v>6</v>
      </c>
      <c r="D405" s="1" t="s">
        <v>14</v>
      </c>
      <c r="E405" s="1" t="s">
        <v>324</v>
      </c>
      <c r="F405" s="1">
        <v>169.99</v>
      </c>
      <c r="G405" s="1"/>
      <c r="H405" s="2">
        <f t="shared" si="6"/>
        <v>-169.99</v>
      </c>
      <c r="I405" s="16" t="str">
        <f>TEXT(Table3[[#This Row],[Date]],"mmm")</f>
        <v>Aug</v>
      </c>
    </row>
    <row r="406" spans="1:9" x14ac:dyDescent="0.3">
      <c r="A406" s="8" t="s">
        <v>222</v>
      </c>
      <c r="B406" s="1" t="s">
        <v>320</v>
      </c>
      <c r="C406" s="1" t="s">
        <v>10</v>
      </c>
      <c r="D406" s="1" t="s">
        <v>22</v>
      </c>
      <c r="E406" s="1" t="s">
        <v>324</v>
      </c>
      <c r="F406" s="1">
        <v>101.54</v>
      </c>
      <c r="G406" s="1"/>
      <c r="H406" s="2">
        <f t="shared" si="6"/>
        <v>-101.54</v>
      </c>
      <c r="I406" s="16" t="str">
        <f>TEXT(Table3[[#This Row],[Date]],"mmm")</f>
        <v>Aug</v>
      </c>
    </row>
    <row r="407" spans="1:9" x14ac:dyDescent="0.3">
      <c r="A407" s="8" t="s">
        <v>222</v>
      </c>
      <c r="B407" s="1" t="s">
        <v>320</v>
      </c>
      <c r="C407" s="1" t="s">
        <v>9</v>
      </c>
      <c r="D407" s="1" t="s">
        <v>21</v>
      </c>
      <c r="E407" s="1" t="s">
        <v>324</v>
      </c>
      <c r="F407" s="1">
        <v>127.24</v>
      </c>
      <c r="G407" s="1"/>
      <c r="H407" s="2">
        <f t="shared" si="6"/>
        <v>-127.24</v>
      </c>
      <c r="I407" s="16" t="str">
        <f>TEXT(Table3[[#This Row],[Date]],"mmm")</f>
        <v>Aug</v>
      </c>
    </row>
    <row r="408" spans="1:9" x14ac:dyDescent="0.3">
      <c r="A408" s="8" t="s">
        <v>223</v>
      </c>
      <c r="B408" s="1" t="s">
        <v>320</v>
      </c>
      <c r="C408" s="1" t="s">
        <v>13</v>
      </c>
      <c r="D408" s="1" t="s">
        <v>30</v>
      </c>
      <c r="E408" s="1" t="s">
        <v>13</v>
      </c>
      <c r="F408" s="1"/>
      <c r="G408" s="1">
        <v>7461</v>
      </c>
      <c r="H408" s="2">
        <v>7461</v>
      </c>
      <c r="I408" s="16" t="str">
        <f>TEXT(Table3[[#This Row],[Date]],"mmm")</f>
        <v>Aug</v>
      </c>
    </row>
    <row r="409" spans="1:9" x14ac:dyDescent="0.3">
      <c r="A409" s="8" t="s">
        <v>223</v>
      </c>
      <c r="B409" s="1" t="s">
        <v>321</v>
      </c>
      <c r="C409" s="1" t="s">
        <v>7</v>
      </c>
      <c r="D409" s="1" t="s">
        <v>23</v>
      </c>
      <c r="E409" s="1" t="s">
        <v>324</v>
      </c>
      <c r="F409" s="1">
        <v>135.6</v>
      </c>
      <c r="G409" s="1"/>
      <c r="H409" s="2">
        <f t="shared" si="6"/>
        <v>-135.6</v>
      </c>
      <c r="I409" s="16" t="str">
        <f>TEXT(Table3[[#This Row],[Date]],"mmm")</f>
        <v>Aug</v>
      </c>
    </row>
    <row r="410" spans="1:9" x14ac:dyDescent="0.3">
      <c r="A410" s="8" t="s">
        <v>224</v>
      </c>
      <c r="B410" s="1" t="s">
        <v>321</v>
      </c>
      <c r="C410" s="1" t="s">
        <v>11</v>
      </c>
      <c r="D410" s="1" t="s">
        <v>25</v>
      </c>
      <c r="E410" s="1" t="s">
        <v>324</v>
      </c>
      <c r="F410" s="1">
        <v>150.46</v>
      </c>
      <c r="G410" s="1"/>
      <c r="H410" s="2">
        <f t="shared" si="6"/>
        <v>-150.46</v>
      </c>
      <c r="I410" s="16" t="str">
        <f>TEXT(Table3[[#This Row],[Date]],"mmm")</f>
        <v>Sep</v>
      </c>
    </row>
    <row r="411" spans="1:9" x14ac:dyDescent="0.3">
      <c r="A411" s="8" t="s">
        <v>224</v>
      </c>
      <c r="B411" s="1" t="s">
        <v>321</v>
      </c>
      <c r="C411" s="1" t="s">
        <v>8</v>
      </c>
      <c r="D411" s="1" t="s">
        <v>28</v>
      </c>
      <c r="E411" s="1" t="s">
        <v>324</v>
      </c>
      <c r="F411" s="1">
        <v>161.82</v>
      </c>
      <c r="G411" s="1"/>
      <c r="H411" s="2">
        <f t="shared" si="6"/>
        <v>-161.82</v>
      </c>
      <c r="I411" s="16" t="str">
        <f>TEXT(Table3[[#This Row],[Date]],"mmm")</f>
        <v>Sep</v>
      </c>
    </row>
    <row r="412" spans="1:9" x14ac:dyDescent="0.3">
      <c r="A412" s="8" t="s">
        <v>224</v>
      </c>
      <c r="B412" s="1" t="s">
        <v>320</v>
      </c>
      <c r="C412" s="1" t="s">
        <v>12</v>
      </c>
      <c r="D412" s="1" t="s">
        <v>24</v>
      </c>
      <c r="E412" s="1" t="s">
        <v>324</v>
      </c>
      <c r="F412" s="1">
        <v>135.34</v>
      </c>
      <c r="G412" s="1"/>
      <c r="H412" s="2">
        <f t="shared" si="6"/>
        <v>-135.34</v>
      </c>
      <c r="I412" s="16" t="str">
        <f>TEXT(Table3[[#This Row],[Date]],"mmm")</f>
        <v>Sep</v>
      </c>
    </row>
    <row r="413" spans="1:9" x14ac:dyDescent="0.3">
      <c r="A413" s="8" t="s">
        <v>225</v>
      </c>
      <c r="B413" s="1" t="s">
        <v>321</v>
      </c>
      <c r="C413" s="1" t="s">
        <v>8</v>
      </c>
      <c r="D413" s="1" t="s">
        <v>28</v>
      </c>
      <c r="E413" s="1" t="s">
        <v>324</v>
      </c>
      <c r="F413" s="1">
        <v>99.18</v>
      </c>
      <c r="G413" s="1"/>
      <c r="H413" s="2">
        <f t="shared" si="6"/>
        <v>-99.18</v>
      </c>
      <c r="I413" s="16" t="str">
        <f>TEXT(Table3[[#This Row],[Date]],"mmm")</f>
        <v>Sep</v>
      </c>
    </row>
    <row r="414" spans="1:9" x14ac:dyDescent="0.3">
      <c r="A414" s="8" t="s">
        <v>225</v>
      </c>
      <c r="B414" s="1" t="s">
        <v>320</v>
      </c>
      <c r="C414" s="1" t="s">
        <v>6</v>
      </c>
      <c r="D414" s="1" t="s">
        <v>14</v>
      </c>
      <c r="E414" s="1" t="s">
        <v>324</v>
      </c>
      <c r="F414" s="1">
        <v>120.59</v>
      </c>
      <c r="G414" s="1"/>
      <c r="H414" s="2">
        <f t="shared" si="6"/>
        <v>-120.59</v>
      </c>
      <c r="I414" s="16" t="str">
        <f>TEXT(Table3[[#This Row],[Date]],"mmm")</f>
        <v>Sep</v>
      </c>
    </row>
    <row r="415" spans="1:9" x14ac:dyDescent="0.3">
      <c r="A415" s="8" t="s">
        <v>225</v>
      </c>
      <c r="B415" s="1" t="s">
        <v>321</v>
      </c>
      <c r="C415" s="1" t="s">
        <v>8</v>
      </c>
      <c r="D415" s="1" t="s">
        <v>28</v>
      </c>
      <c r="E415" s="1" t="s">
        <v>324</v>
      </c>
      <c r="F415" s="1">
        <v>35.49</v>
      </c>
      <c r="G415" s="1"/>
      <c r="H415" s="2">
        <f t="shared" si="6"/>
        <v>-35.49</v>
      </c>
      <c r="I415" s="16" t="str">
        <f>TEXT(Table3[[#This Row],[Date]],"mmm")</f>
        <v>Sep</v>
      </c>
    </row>
    <row r="416" spans="1:9" x14ac:dyDescent="0.3">
      <c r="A416" s="8" t="s">
        <v>226</v>
      </c>
      <c r="B416" s="1" t="s">
        <v>320</v>
      </c>
      <c r="C416" s="1" t="s">
        <v>9</v>
      </c>
      <c r="D416" s="1" t="s">
        <v>21</v>
      </c>
      <c r="E416" s="1" t="s">
        <v>324</v>
      </c>
      <c r="F416" s="1">
        <v>80.11</v>
      </c>
      <c r="G416" s="1"/>
      <c r="H416" s="2">
        <f t="shared" si="6"/>
        <v>-80.11</v>
      </c>
      <c r="I416" s="16" t="str">
        <f>TEXT(Table3[[#This Row],[Date]],"mmm")</f>
        <v>Sep</v>
      </c>
    </row>
    <row r="417" spans="1:9" x14ac:dyDescent="0.3">
      <c r="A417" s="8" t="s">
        <v>226</v>
      </c>
      <c r="B417" s="1" t="s">
        <v>320</v>
      </c>
      <c r="C417" s="1" t="s">
        <v>8</v>
      </c>
      <c r="D417" s="1" t="s">
        <v>16</v>
      </c>
      <c r="E417" s="1" t="s">
        <v>324</v>
      </c>
      <c r="F417" s="1">
        <v>20.91</v>
      </c>
      <c r="G417" s="1"/>
      <c r="H417" s="2">
        <f t="shared" si="6"/>
        <v>-20.91</v>
      </c>
      <c r="I417" s="16" t="str">
        <f>TEXT(Table3[[#This Row],[Date]],"mmm")</f>
        <v>Sep</v>
      </c>
    </row>
    <row r="418" spans="1:9" x14ac:dyDescent="0.3">
      <c r="A418" s="8" t="s">
        <v>226</v>
      </c>
      <c r="B418" s="1" t="s">
        <v>321</v>
      </c>
      <c r="C418" s="1" t="s">
        <v>9</v>
      </c>
      <c r="D418" s="1" t="s">
        <v>21</v>
      </c>
      <c r="E418" s="1" t="s">
        <v>324</v>
      </c>
      <c r="F418" s="1">
        <v>167.28</v>
      </c>
      <c r="G418" s="1"/>
      <c r="H418" s="2">
        <f t="shared" si="6"/>
        <v>-167.28</v>
      </c>
      <c r="I418" s="16" t="str">
        <f>TEXT(Table3[[#This Row],[Date]],"mmm")</f>
        <v>Sep</v>
      </c>
    </row>
    <row r="419" spans="1:9" x14ac:dyDescent="0.3">
      <c r="A419" s="8" t="s">
        <v>227</v>
      </c>
      <c r="B419" s="1" t="s">
        <v>320</v>
      </c>
      <c r="C419" s="1" t="s">
        <v>8</v>
      </c>
      <c r="D419" s="1" t="s">
        <v>26</v>
      </c>
      <c r="E419" s="1" t="s">
        <v>324</v>
      </c>
      <c r="F419" s="1">
        <v>34.229999999999997</v>
      </c>
      <c r="G419" s="1"/>
      <c r="H419" s="2">
        <f t="shared" si="6"/>
        <v>-34.229999999999997</v>
      </c>
      <c r="I419" s="16" t="str">
        <f>TEXT(Table3[[#This Row],[Date]],"mmm")</f>
        <v>Sep</v>
      </c>
    </row>
    <row r="420" spans="1:9" x14ac:dyDescent="0.3">
      <c r="A420" s="8" t="s">
        <v>228</v>
      </c>
      <c r="B420" s="1" t="s">
        <v>322</v>
      </c>
      <c r="C420" s="1" t="s">
        <v>12</v>
      </c>
      <c r="D420" s="1" t="s">
        <v>24</v>
      </c>
      <c r="E420" s="1" t="s">
        <v>324</v>
      </c>
      <c r="F420" s="1">
        <v>143.52000000000001</v>
      </c>
      <c r="G420" s="1"/>
      <c r="H420" s="2">
        <f t="shared" si="6"/>
        <v>-143.52000000000001</v>
      </c>
      <c r="I420" s="16" t="str">
        <f>TEXT(Table3[[#This Row],[Date]],"mmm")</f>
        <v>Sep</v>
      </c>
    </row>
    <row r="421" spans="1:9" x14ac:dyDescent="0.3">
      <c r="A421" s="8" t="s">
        <v>228</v>
      </c>
      <c r="B421" s="1" t="s">
        <v>320</v>
      </c>
      <c r="C421" s="1" t="s">
        <v>7</v>
      </c>
      <c r="D421" s="1" t="s">
        <v>15</v>
      </c>
      <c r="E421" s="1" t="s">
        <v>324</v>
      </c>
      <c r="F421" s="1">
        <v>154.44999999999999</v>
      </c>
      <c r="G421" s="1"/>
      <c r="H421" s="2">
        <f t="shared" si="6"/>
        <v>-154.44999999999999</v>
      </c>
      <c r="I421" s="16" t="str">
        <f>TEXT(Table3[[#This Row],[Date]],"mmm")</f>
        <v>Sep</v>
      </c>
    </row>
    <row r="422" spans="1:9" x14ac:dyDescent="0.3">
      <c r="A422" s="8" t="s">
        <v>229</v>
      </c>
      <c r="B422" s="1" t="s">
        <v>320</v>
      </c>
      <c r="C422" s="1" t="s">
        <v>6</v>
      </c>
      <c r="D422" s="1" t="s">
        <v>14</v>
      </c>
      <c r="E422" s="1" t="s">
        <v>324</v>
      </c>
      <c r="F422" s="1">
        <v>181.33</v>
      </c>
      <c r="G422" s="1"/>
      <c r="H422" s="2">
        <f t="shared" si="6"/>
        <v>-181.33</v>
      </c>
      <c r="I422" s="16" t="str">
        <f>TEXT(Table3[[#This Row],[Date]],"mmm")</f>
        <v>Sep</v>
      </c>
    </row>
    <row r="423" spans="1:9" x14ac:dyDescent="0.3">
      <c r="A423" s="8" t="s">
        <v>230</v>
      </c>
      <c r="B423" s="1" t="s">
        <v>321</v>
      </c>
      <c r="C423" s="1" t="s">
        <v>11</v>
      </c>
      <c r="D423" s="1" t="s">
        <v>25</v>
      </c>
      <c r="E423" s="1" t="s">
        <v>324</v>
      </c>
      <c r="F423" s="1">
        <v>108.01</v>
      </c>
      <c r="G423" s="1"/>
      <c r="H423" s="2">
        <f t="shared" si="6"/>
        <v>-108.01</v>
      </c>
      <c r="I423" s="16" t="str">
        <f>TEXT(Table3[[#This Row],[Date]],"mmm")</f>
        <v>Sep</v>
      </c>
    </row>
    <row r="424" spans="1:9" x14ac:dyDescent="0.3">
      <c r="A424" s="8" t="s">
        <v>230</v>
      </c>
      <c r="B424" s="1" t="s">
        <v>320</v>
      </c>
      <c r="C424" s="1" t="s">
        <v>8</v>
      </c>
      <c r="D424" s="1" t="s">
        <v>16</v>
      </c>
      <c r="E424" s="1" t="s">
        <v>324</v>
      </c>
      <c r="F424" s="1">
        <v>23.12</v>
      </c>
      <c r="G424" s="1"/>
      <c r="H424" s="2">
        <f t="shared" si="6"/>
        <v>-23.12</v>
      </c>
      <c r="I424" s="16" t="str">
        <f>TEXT(Table3[[#This Row],[Date]],"mmm")</f>
        <v>Sep</v>
      </c>
    </row>
    <row r="425" spans="1:9" x14ac:dyDescent="0.3">
      <c r="A425" s="8" t="s">
        <v>230</v>
      </c>
      <c r="B425" s="1" t="s">
        <v>320</v>
      </c>
      <c r="C425" s="1" t="s">
        <v>8</v>
      </c>
      <c r="D425" s="1" t="s">
        <v>28</v>
      </c>
      <c r="E425" s="1" t="s">
        <v>324</v>
      </c>
      <c r="F425" s="1">
        <v>182.54</v>
      </c>
      <c r="G425" s="1"/>
      <c r="H425" s="2">
        <f t="shared" si="6"/>
        <v>-182.54</v>
      </c>
      <c r="I425" s="16" t="str">
        <f>TEXT(Table3[[#This Row],[Date]],"mmm")</f>
        <v>Sep</v>
      </c>
    </row>
    <row r="426" spans="1:9" x14ac:dyDescent="0.3">
      <c r="A426" s="8" t="s">
        <v>230</v>
      </c>
      <c r="B426" s="1" t="s">
        <v>321</v>
      </c>
      <c r="C426" s="1" t="s">
        <v>11</v>
      </c>
      <c r="D426" s="1" t="s">
        <v>25</v>
      </c>
      <c r="E426" s="1" t="s">
        <v>324</v>
      </c>
      <c r="F426" s="1">
        <v>157.26</v>
      </c>
      <c r="G426" s="1"/>
      <c r="H426" s="2">
        <f t="shared" si="6"/>
        <v>-157.26</v>
      </c>
      <c r="I426" s="16" t="str">
        <f>TEXT(Table3[[#This Row],[Date]],"mmm")</f>
        <v>Sep</v>
      </c>
    </row>
    <row r="427" spans="1:9" x14ac:dyDescent="0.3">
      <c r="A427" s="8" t="s">
        <v>230</v>
      </c>
      <c r="B427" s="1" t="s">
        <v>321</v>
      </c>
      <c r="C427" s="1" t="s">
        <v>12</v>
      </c>
      <c r="D427" s="1" t="s">
        <v>29</v>
      </c>
      <c r="E427" s="1" t="s">
        <v>324</v>
      </c>
      <c r="F427" s="1">
        <v>18.68</v>
      </c>
      <c r="G427" s="1"/>
      <c r="H427" s="2">
        <f t="shared" si="6"/>
        <v>-18.68</v>
      </c>
      <c r="I427" s="16" t="str">
        <f>TEXT(Table3[[#This Row],[Date]],"mmm")</f>
        <v>Sep</v>
      </c>
    </row>
    <row r="428" spans="1:9" x14ac:dyDescent="0.3">
      <c r="A428" s="8" t="s">
        <v>231</v>
      </c>
      <c r="B428" s="1" t="s">
        <v>320</v>
      </c>
      <c r="C428" s="1" t="s">
        <v>10</v>
      </c>
      <c r="D428" s="1" t="s">
        <v>22</v>
      </c>
      <c r="E428" s="1" t="s">
        <v>324</v>
      </c>
      <c r="F428" s="1">
        <v>140.13</v>
      </c>
      <c r="G428" s="1"/>
      <c r="H428" s="2">
        <f t="shared" si="6"/>
        <v>-140.13</v>
      </c>
      <c r="I428" s="16" t="str">
        <f>TEXT(Table3[[#This Row],[Date]],"mmm")</f>
        <v>Sep</v>
      </c>
    </row>
    <row r="429" spans="1:9" x14ac:dyDescent="0.3">
      <c r="A429" s="8" t="s">
        <v>231</v>
      </c>
      <c r="B429" s="1" t="s">
        <v>321</v>
      </c>
      <c r="C429" s="1" t="s">
        <v>6</v>
      </c>
      <c r="D429" s="1" t="s">
        <v>14</v>
      </c>
      <c r="E429" s="1" t="s">
        <v>324</v>
      </c>
      <c r="F429" s="1">
        <v>114.01</v>
      </c>
      <c r="G429" s="1"/>
      <c r="H429" s="2">
        <f t="shared" si="6"/>
        <v>-114.01</v>
      </c>
      <c r="I429" s="16" t="str">
        <f>TEXT(Table3[[#This Row],[Date]],"mmm")</f>
        <v>Sep</v>
      </c>
    </row>
    <row r="430" spans="1:9" x14ac:dyDescent="0.3">
      <c r="A430" s="8" t="s">
        <v>232</v>
      </c>
      <c r="B430" s="1" t="s">
        <v>322</v>
      </c>
      <c r="C430" s="1" t="s">
        <v>12</v>
      </c>
      <c r="D430" s="1" t="s">
        <v>24</v>
      </c>
      <c r="E430" s="1" t="s">
        <v>324</v>
      </c>
      <c r="F430" s="1">
        <v>6.39</v>
      </c>
      <c r="G430" s="1"/>
      <c r="H430" s="2">
        <f t="shared" si="6"/>
        <v>-6.39</v>
      </c>
      <c r="I430" s="16" t="str">
        <f>TEXT(Table3[[#This Row],[Date]],"mmm")</f>
        <v>Sep</v>
      </c>
    </row>
    <row r="431" spans="1:9" x14ac:dyDescent="0.3">
      <c r="A431" s="8" t="s">
        <v>232</v>
      </c>
      <c r="B431" s="1" t="s">
        <v>320</v>
      </c>
      <c r="C431" s="1" t="s">
        <v>8</v>
      </c>
      <c r="D431" s="1" t="s">
        <v>16</v>
      </c>
      <c r="E431" s="1" t="s">
        <v>324</v>
      </c>
      <c r="F431" s="1">
        <v>215.9</v>
      </c>
      <c r="G431" s="1"/>
      <c r="H431" s="2">
        <f t="shared" si="6"/>
        <v>-215.9</v>
      </c>
      <c r="I431" s="16" t="str">
        <f>TEXT(Table3[[#This Row],[Date]],"mmm")</f>
        <v>Sep</v>
      </c>
    </row>
    <row r="432" spans="1:9" x14ac:dyDescent="0.3">
      <c r="A432" s="8" t="s">
        <v>233</v>
      </c>
      <c r="B432" s="1" t="s">
        <v>320</v>
      </c>
      <c r="C432" s="1" t="s">
        <v>10</v>
      </c>
      <c r="D432" s="1" t="s">
        <v>22</v>
      </c>
      <c r="E432" s="1" t="s">
        <v>324</v>
      </c>
      <c r="F432" s="1">
        <v>148.19</v>
      </c>
      <c r="G432" s="1"/>
      <c r="H432" s="2">
        <f t="shared" si="6"/>
        <v>-148.19</v>
      </c>
      <c r="I432" s="16" t="str">
        <f>TEXT(Table3[[#This Row],[Date]],"mmm")</f>
        <v>Sep</v>
      </c>
    </row>
    <row r="433" spans="1:9" x14ac:dyDescent="0.3">
      <c r="A433" s="8" t="s">
        <v>233</v>
      </c>
      <c r="B433" s="1" t="s">
        <v>321</v>
      </c>
      <c r="C433" s="1" t="s">
        <v>11</v>
      </c>
      <c r="D433" s="1" t="s">
        <v>27</v>
      </c>
      <c r="E433" s="1" t="s">
        <v>324</v>
      </c>
      <c r="F433" s="1">
        <v>130.63</v>
      </c>
      <c r="G433" s="1"/>
      <c r="H433" s="2">
        <f t="shared" si="6"/>
        <v>-130.63</v>
      </c>
      <c r="I433" s="16" t="str">
        <f>TEXT(Table3[[#This Row],[Date]],"mmm")</f>
        <v>Sep</v>
      </c>
    </row>
    <row r="434" spans="1:9" x14ac:dyDescent="0.3">
      <c r="A434" s="8" t="s">
        <v>234</v>
      </c>
      <c r="B434" s="1" t="s">
        <v>321</v>
      </c>
      <c r="C434" s="1" t="s">
        <v>12</v>
      </c>
      <c r="D434" s="1" t="s">
        <v>24</v>
      </c>
      <c r="E434" s="1" t="s">
        <v>324</v>
      </c>
      <c r="F434" s="1">
        <v>163.5</v>
      </c>
      <c r="G434" s="1"/>
      <c r="H434" s="2">
        <f t="shared" si="6"/>
        <v>-163.5</v>
      </c>
      <c r="I434" s="16" t="str">
        <f>TEXT(Table3[[#This Row],[Date]],"mmm")</f>
        <v>Sep</v>
      </c>
    </row>
    <row r="435" spans="1:9" x14ac:dyDescent="0.3">
      <c r="A435" s="8" t="s">
        <v>234</v>
      </c>
      <c r="B435" s="1" t="s">
        <v>320</v>
      </c>
      <c r="C435" s="1" t="s">
        <v>8</v>
      </c>
      <c r="D435" s="1" t="s">
        <v>26</v>
      </c>
      <c r="E435" s="1" t="s">
        <v>324</v>
      </c>
      <c r="F435" s="1">
        <v>164.37</v>
      </c>
      <c r="G435" s="1"/>
      <c r="H435" s="2">
        <f t="shared" si="6"/>
        <v>-164.37</v>
      </c>
      <c r="I435" s="16" t="str">
        <f>TEXT(Table3[[#This Row],[Date]],"mmm")</f>
        <v>Sep</v>
      </c>
    </row>
    <row r="436" spans="1:9" x14ac:dyDescent="0.3">
      <c r="A436" s="8" t="s">
        <v>235</v>
      </c>
      <c r="B436" s="1" t="s">
        <v>321</v>
      </c>
      <c r="C436" s="1" t="s">
        <v>9</v>
      </c>
      <c r="D436" s="1" t="s">
        <v>21</v>
      </c>
      <c r="E436" s="1" t="s">
        <v>324</v>
      </c>
      <c r="F436" s="1">
        <v>113.06</v>
      </c>
      <c r="G436" s="1"/>
      <c r="H436" s="2">
        <f t="shared" si="6"/>
        <v>-113.06</v>
      </c>
      <c r="I436" s="16" t="str">
        <f>TEXT(Table3[[#This Row],[Date]],"mmm")</f>
        <v>Sep</v>
      </c>
    </row>
    <row r="437" spans="1:9" x14ac:dyDescent="0.3">
      <c r="A437" s="8" t="s">
        <v>235</v>
      </c>
      <c r="B437" s="1" t="s">
        <v>321</v>
      </c>
      <c r="C437" s="1" t="s">
        <v>8</v>
      </c>
      <c r="D437" s="1" t="s">
        <v>26</v>
      </c>
      <c r="E437" s="1" t="s">
        <v>324</v>
      </c>
      <c r="F437" s="1">
        <v>212.94</v>
      </c>
      <c r="G437" s="1"/>
      <c r="H437" s="2">
        <f t="shared" si="6"/>
        <v>-212.94</v>
      </c>
      <c r="I437" s="16" t="str">
        <f>TEXT(Table3[[#This Row],[Date]],"mmm")</f>
        <v>Sep</v>
      </c>
    </row>
    <row r="438" spans="1:9" x14ac:dyDescent="0.3">
      <c r="A438" s="8" t="s">
        <v>235</v>
      </c>
      <c r="B438" s="1" t="s">
        <v>320</v>
      </c>
      <c r="C438" s="1" t="s">
        <v>11</v>
      </c>
      <c r="D438" s="1" t="s">
        <v>25</v>
      </c>
      <c r="E438" s="1" t="s">
        <v>324</v>
      </c>
      <c r="F438" s="1">
        <v>38.78</v>
      </c>
      <c r="G438" s="1"/>
      <c r="H438" s="2">
        <f t="shared" si="6"/>
        <v>-38.78</v>
      </c>
      <c r="I438" s="16" t="str">
        <f>TEXT(Table3[[#This Row],[Date]],"mmm")</f>
        <v>Sep</v>
      </c>
    </row>
    <row r="439" spans="1:9" x14ac:dyDescent="0.3">
      <c r="A439" s="8" t="s">
        <v>236</v>
      </c>
      <c r="B439" s="1" t="s">
        <v>320</v>
      </c>
      <c r="C439" s="1" t="s">
        <v>10</v>
      </c>
      <c r="D439" s="1" t="s">
        <v>19</v>
      </c>
      <c r="E439" s="1" t="s">
        <v>324</v>
      </c>
      <c r="F439" s="1">
        <v>46.41</v>
      </c>
      <c r="G439" s="1"/>
      <c r="H439" s="2">
        <f t="shared" si="6"/>
        <v>-46.41</v>
      </c>
      <c r="I439" s="16" t="str">
        <f>TEXT(Table3[[#This Row],[Date]],"mmm")</f>
        <v>Sep</v>
      </c>
    </row>
    <row r="440" spans="1:9" x14ac:dyDescent="0.3">
      <c r="A440" s="8" t="s">
        <v>236</v>
      </c>
      <c r="B440" s="1" t="s">
        <v>320</v>
      </c>
      <c r="C440" s="1" t="s">
        <v>10</v>
      </c>
      <c r="D440" s="1" t="s">
        <v>19</v>
      </c>
      <c r="E440" s="1" t="s">
        <v>324</v>
      </c>
      <c r="F440" s="1">
        <v>116.6</v>
      </c>
      <c r="G440" s="1"/>
      <c r="H440" s="2">
        <f t="shared" si="6"/>
        <v>-116.6</v>
      </c>
      <c r="I440" s="16" t="str">
        <f>TEXT(Table3[[#This Row],[Date]],"mmm")</f>
        <v>Sep</v>
      </c>
    </row>
    <row r="441" spans="1:9" x14ac:dyDescent="0.3">
      <c r="A441" s="8" t="s">
        <v>236</v>
      </c>
      <c r="B441" s="1" t="s">
        <v>320</v>
      </c>
      <c r="C441" s="1" t="s">
        <v>12</v>
      </c>
      <c r="D441" s="1" t="s">
        <v>29</v>
      </c>
      <c r="E441" s="1" t="s">
        <v>324</v>
      </c>
      <c r="F441" s="1">
        <v>60.41</v>
      </c>
      <c r="G441" s="1"/>
      <c r="H441" s="2">
        <f t="shared" si="6"/>
        <v>-60.41</v>
      </c>
      <c r="I441" s="16" t="str">
        <f>TEXT(Table3[[#This Row],[Date]],"mmm")</f>
        <v>Sep</v>
      </c>
    </row>
    <row r="442" spans="1:9" x14ac:dyDescent="0.3">
      <c r="A442" s="8" t="s">
        <v>237</v>
      </c>
      <c r="B442" s="1" t="s">
        <v>322</v>
      </c>
      <c r="C442" s="1" t="s">
        <v>12</v>
      </c>
      <c r="D442" s="1" t="s">
        <v>24</v>
      </c>
      <c r="E442" s="1" t="s">
        <v>324</v>
      </c>
      <c r="F442" s="1">
        <v>212.55</v>
      </c>
      <c r="G442" s="1"/>
      <c r="H442" s="2">
        <f t="shared" si="6"/>
        <v>-212.55</v>
      </c>
      <c r="I442" s="16" t="str">
        <f>TEXT(Table3[[#This Row],[Date]],"mmm")</f>
        <v>Sep</v>
      </c>
    </row>
    <row r="443" spans="1:9" x14ac:dyDescent="0.3">
      <c r="A443" s="8" t="s">
        <v>237</v>
      </c>
      <c r="B443" s="1" t="s">
        <v>321</v>
      </c>
      <c r="C443" s="1" t="s">
        <v>8</v>
      </c>
      <c r="D443" s="1" t="s">
        <v>28</v>
      </c>
      <c r="E443" s="1" t="s">
        <v>324</v>
      </c>
      <c r="F443" s="1">
        <v>155.69999999999999</v>
      </c>
      <c r="G443" s="1"/>
      <c r="H443" s="2">
        <f t="shared" si="6"/>
        <v>-155.69999999999999</v>
      </c>
      <c r="I443" s="16" t="str">
        <f>TEXT(Table3[[#This Row],[Date]],"mmm")</f>
        <v>Sep</v>
      </c>
    </row>
    <row r="444" spans="1:9" x14ac:dyDescent="0.3">
      <c r="A444" s="8" t="s">
        <v>237</v>
      </c>
      <c r="B444" s="1" t="s">
        <v>321</v>
      </c>
      <c r="C444" s="1" t="s">
        <v>10</v>
      </c>
      <c r="D444" s="1" t="s">
        <v>22</v>
      </c>
      <c r="E444" s="1" t="s">
        <v>324</v>
      </c>
      <c r="F444" s="1">
        <v>90.1</v>
      </c>
      <c r="G444" s="1"/>
      <c r="H444" s="2">
        <f t="shared" si="6"/>
        <v>-90.1</v>
      </c>
      <c r="I444" s="16" t="str">
        <f>TEXT(Table3[[#This Row],[Date]],"mmm")</f>
        <v>Sep</v>
      </c>
    </row>
    <row r="445" spans="1:9" x14ac:dyDescent="0.3">
      <c r="A445" s="8" t="s">
        <v>238</v>
      </c>
      <c r="B445" s="1" t="s">
        <v>321</v>
      </c>
      <c r="C445" s="1" t="s">
        <v>8</v>
      </c>
      <c r="D445" s="1" t="s">
        <v>26</v>
      </c>
      <c r="E445" s="1" t="s">
        <v>324</v>
      </c>
      <c r="F445" s="1">
        <v>93.6</v>
      </c>
      <c r="G445" s="1"/>
      <c r="H445" s="2">
        <f t="shared" si="6"/>
        <v>-93.6</v>
      </c>
      <c r="I445" s="16" t="str">
        <f>TEXT(Table3[[#This Row],[Date]],"mmm")</f>
        <v>Sep</v>
      </c>
    </row>
    <row r="446" spans="1:9" x14ac:dyDescent="0.3">
      <c r="A446" s="8" t="s">
        <v>238</v>
      </c>
      <c r="B446" s="1" t="s">
        <v>320</v>
      </c>
      <c r="C446" s="1" t="s">
        <v>11</v>
      </c>
      <c r="D446" s="1" t="s">
        <v>25</v>
      </c>
      <c r="E446" s="1" t="s">
        <v>324</v>
      </c>
      <c r="F446" s="1">
        <v>171.52</v>
      </c>
      <c r="G446" s="1"/>
      <c r="H446" s="2">
        <f t="shared" si="6"/>
        <v>-171.52</v>
      </c>
      <c r="I446" s="16" t="str">
        <f>TEXT(Table3[[#This Row],[Date]],"mmm")</f>
        <v>Sep</v>
      </c>
    </row>
    <row r="447" spans="1:9" x14ac:dyDescent="0.3">
      <c r="A447" s="8" t="s">
        <v>239</v>
      </c>
      <c r="B447" s="1" t="s">
        <v>321</v>
      </c>
      <c r="C447" s="1" t="s">
        <v>8</v>
      </c>
      <c r="D447" s="1" t="s">
        <v>26</v>
      </c>
      <c r="E447" s="1" t="s">
        <v>324</v>
      </c>
      <c r="F447" s="1">
        <v>161.54</v>
      </c>
      <c r="G447" s="1"/>
      <c r="H447" s="2">
        <f t="shared" si="6"/>
        <v>-161.54</v>
      </c>
      <c r="I447" s="16" t="str">
        <f>TEXT(Table3[[#This Row],[Date]],"mmm")</f>
        <v>Sep</v>
      </c>
    </row>
    <row r="448" spans="1:9" x14ac:dyDescent="0.3">
      <c r="A448" s="8" t="s">
        <v>240</v>
      </c>
      <c r="B448" s="1" t="s">
        <v>320</v>
      </c>
      <c r="C448" s="1" t="s">
        <v>10</v>
      </c>
      <c r="D448" s="1" t="s">
        <v>22</v>
      </c>
      <c r="E448" s="1" t="s">
        <v>324</v>
      </c>
      <c r="F448" s="1">
        <v>209.26</v>
      </c>
      <c r="G448" s="1"/>
      <c r="H448" s="2">
        <f t="shared" si="6"/>
        <v>-209.26</v>
      </c>
      <c r="I448" s="16" t="str">
        <f>TEXT(Table3[[#This Row],[Date]],"mmm")</f>
        <v>Sep</v>
      </c>
    </row>
    <row r="449" spans="1:9" x14ac:dyDescent="0.3">
      <c r="A449" s="8" t="s">
        <v>240</v>
      </c>
      <c r="B449" s="1" t="s">
        <v>321</v>
      </c>
      <c r="C449" s="1" t="s">
        <v>8</v>
      </c>
      <c r="D449" s="1" t="s">
        <v>16</v>
      </c>
      <c r="E449" s="1" t="s">
        <v>324</v>
      </c>
      <c r="F449" s="1">
        <v>44.31</v>
      </c>
      <c r="G449" s="1"/>
      <c r="H449" s="2">
        <f t="shared" si="6"/>
        <v>-44.31</v>
      </c>
      <c r="I449" s="16" t="str">
        <f>TEXT(Table3[[#This Row],[Date]],"mmm")</f>
        <v>Sep</v>
      </c>
    </row>
    <row r="450" spans="1:9" x14ac:dyDescent="0.3">
      <c r="A450" s="8" t="s">
        <v>241</v>
      </c>
      <c r="B450" s="1" t="s">
        <v>320</v>
      </c>
      <c r="C450" s="1" t="s">
        <v>10</v>
      </c>
      <c r="D450" s="1" t="s">
        <v>22</v>
      </c>
      <c r="E450" s="1" t="s">
        <v>324</v>
      </c>
      <c r="F450" s="1">
        <v>124.74</v>
      </c>
      <c r="G450" s="1"/>
      <c r="H450" s="2">
        <f t="shared" si="6"/>
        <v>-124.74</v>
      </c>
      <c r="I450" s="16" t="str">
        <f>TEXT(Table3[[#This Row],[Date]],"mmm")</f>
        <v>Sep</v>
      </c>
    </row>
    <row r="451" spans="1:9" x14ac:dyDescent="0.3">
      <c r="A451" s="8" t="s">
        <v>241</v>
      </c>
      <c r="B451" s="1" t="s">
        <v>320</v>
      </c>
      <c r="C451" s="1" t="s">
        <v>11</v>
      </c>
      <c r="D451" s="1" t="s">
        <v>27</v>
      </c>
      <c r="E451" s="1" t="s">
        <v>324</v>
      </c>
      <c r="F451" s="1">
        <v>168.31</v>
      </c>
      <c r="G451" s="1"/>
      <c r="H451" s="2">
        <f t="shared" ref="H451:H514" si="7">F451*-1</f>
        <v>-168.31</v>
      </c>
      <c r="I451" s="16" t="str">
        <f>TEXT(Table3[[#This Row],[Date]],"mmm")</f>
        <v>Sep</v>
      </c>
    </row>
    <row r="452" spans="1:9" x14ac:dyDescent="0.3">
      <c r="A452" s="8" t="s">
        <v>241</v>
      </c>
      <c r="B452" s="1" t="s">
        <v>321</v>
      </c>
      <c r="C452" s="1" t="s">
        <v>11</v>
      </c>
      <c r="D452" s="1" t="s">
        <v>27</v>
      </c>
      <c r="E452" s="1" t="s">
        <v>324</v>
      </c>
      <c r="F452" s="1">
        <v>114.61</v>
      </c>
      <c r="G452" s="1"/>
      <c r="H452" s="2">
        <f t="shared" si="7"/>
        <v>-114.61</v>
      </c>
      <c r="I452" s="16" t="str">
        <f>TEXT(Table3[[#This Row],[Date]],"mmm")</f>
        <v>Sep</v>
      </c>
    </row>
    <row r="453" spans="1:9" x14ac:dyDescent="0.3">
      <c r="A453" s="8" t="s">
        <v>242</v>
      </c>
      <c r="B453" s="1" t="s">
        <v>320</v>
      </c>
      <c r="C453" s="1" t="s">
        <v>11</v>
      </c>
      <c r="D453" s="1" t="s">
        <v>20</v>
      </c>
      <c r="E453" s="1" t="s">
        <v>324</v>
      </c>
      <c r="F453" s="1">
        <v>10.68</v>
      </c>
      <c r="G453" s="1"/>
      <c r="H453" s="2">
        <f t="shared" si="7"/>
        <v>-10.68</v>
      </c>
      <c r="I453" s="16" t="str">
        <f>TEXT(Table3[[#This Row],[Date]],"mmm")</f>
        <v>Sep</v>
      </c>
    </row>
    <row r="454" spans="1:9" x14ac:dyDescent="0.3">
      <c r="A454" s="8" t="s">
        <v>243</v>
      </c>
      <c r="B454" s="1" t="s">
        <v>320</v>
      </c>
      <c r="C454" s="1" t="s">
        <v>11</v>
      </c>
      <c r="D454" s="1" t="s">
        <v>27</v>
      </c>
      <c r="E454" s="1" t="s">
        <v>324</v>
      </c>
      <c r="F454" s="1">
        <v>51.73</v>
      </c>
      <c r="G454" s="1"/>
      <c r="H454" s="2">
        <f t="shared" si="7"/>
        <v>-51.73</v>
      </c>
      <c r="I454" s="16" t="str">
        <f>TEXT(Table3[[#This Row],[Date]],"mmm")</f>
        <v>Sep</v>
      </c>
    </row>
    <row r="455" spans="1:9" x14ac:dyDescent="0.3">
      <c r="A455" s="8" t="s">
        <v>243</v>
      </c>
      <c r="B455" s="1" t="s">
        <v>321</v>
      </c>
      <c r="C455" s="1" t="s">
        <v>12</v>
      </c>
      <c r="D455" s="1" t="s">
        <v>24</v>
      </c>
      <c r="E455" s="1" t="s">
        <v>324</v>
      </c>
      <c r="F455" s="1">
        <v>38.14</v>
      </c>
      <c r="G455" s="1"/>
      <c r="H455" s="2">
        <f t="shared" si="7"/>
        <v>-38.14</v>
      </c>
      <c r="I455" s="16" t="str">
        <f>TEXT(Table3[[#This Row],[Date]],"mmm")</f>
        <v>Sep</v>
      </c>
    </row>
    <row r="456" spans="1:9" x14ac:dyDescent="0.3">
      <c r="A456" s="8" t="s">
        <v>243</v>
      </c>
      <c r="B456" s="1" t="s">
        <v>320</v>
      </c>
      <c r="C456" s="1" t="s">
        <v>11</v>
      </c>
      <c r="D456" s="1" t="s">
        <v>25</v>
      </c>
      <c r="E456" s="1" t="s">
        <v>324</v>
      </c>
      <c r="F456" s="1">
        <v>164.76</v>
      </c>
      <c r="G456" s="1"/>
      <c r="H456" s="2">
        <f t="shared" si="7"/>
        <v>-164.76</v>
      </c>
      <c r="I456" s="16" t="str">
        <f>TEXT(Table3[[#This Row],[Date]],"mmm")</f>
        <v>Sep</v>
      </c>
    </row>
    <row r="457" spans="1:9" x14ac:dyDescent="0.3">
      <c r="A457" s="8" t="s">
        <v>244</v>
      </c>
      <c r="B457" s="1" t="s">
        <v>320</v>
      </c>
      <c r="C457" s="1" t="s">
        <v>6</v>
      </c>
      <c r="D457" s="1" t="s">
        <v>14</v>
      </c>
      <c r="E457" s="1" t="s">
        <v>324</v>
      </c>
      <c r="F457" s="1">
        <v>220.99</v>
      </c>
      <c r="G457" s="1"/>
      <c r="H457" s="2">
        <f t="shared" si="7"/>
        <v>-220.99</v>
      </c>
      <c r="I457" s="16" t="str">
        <f>TEXT(Table3[[#This Row],[Date]],"mmm")</f>
        <v>Sep</v>
      </c>
    </row>
    <row r="458" spans="1:9" x14ac:dyDescent="0.3">
      <c r="A458" s="8" t="s">
        <v>245</v>
      </c>
      <c r="B458" s="1" t="s">
        <v>320</v>
      </c>
      <c r="C458" s="1" t="s">
        <v>6</v>
      </c>
      <c r="D458" s="1" t="s">
        <v>14</v>
      </c>
      <c r="E458" s="1" t="s">
        <v>324</v>
      </c>
      <c r="F458" s="1">
        <v>235.78</v>
      </c>
      <c r="G458" s="1"/>
      <c r="H458" s="2">
        <f t="shared" si="7"/>
        <v>-235.78</v>
      </c>
      <c r="I458" s="16" t="str">
        <f>TEXT(Table3[[#This Row],[Date]],"mmm")</f>
        <v>Sep</v>
      </c>
    </row>
    <row r="459" spans="1:9" x14ac:dyDescent="0.3">
      <c r="A459" s="8" t="s">
        <v>245</v>
      </c>
      <c r="B459" s="1" t="s">
        <v>320</v>
      </c>
      <c r="C459" s="1" t="s">
        <v>13</v>
      </c>
      <c r="D459" s="1" t="s">
        <v>30</v>
      </c>
      <c r="E459" s="1" t="s">
        <v>13</v>
      </c>
      <c r="F459" s="1"/>
      <c r="G459" s="1">
        <v>7461</v>
      </c>
      <c r="H459" s="2">
        <v>7461</v>
      </c>
      <c r="I459" s="16" t="str">
        <f>TEXT(Table3[[#This Row],[Date]],"mmm")</f>
        <v>Sep</v>
      </c>
    </row>
    <row r="460" spans="1:9" x14ac:dyDescent="0.3">
      <c r="A460" s="8" t="s">
        <v>245</v>
      </c>
      <c r="B460" s="1" t="s">
        <v>321</v>
      </c>
      <c r="C460" s="1" t="s">
        <v>8</v>
      </c>
      <c r="D460" s="1" t="s">
        <v>26</v>
      </c>
      <c r="E460" s="1" t="s">
        <v>324</v>
      </c>
      <c r="F460" s="1">
        <v>139.56</v>
      </c>
      <c r="G460" s="1"/>
      <c r="H460" s="2">
        <f t="shared" si="7"/>
        <v>-139.56</v>
      </c>
      <c r="I460" s="16" t="str">
        <f>TEXT(Table3[[#This Row],[Date]],"mmm")</f>
        <v>Sep</v>
      </c>
    </row>
    <row r="461" spans="1:9" x14ac:dyDescent="0.3">
      <c r="A461" s="8" t="s">
        <v>246</v>
      </c>
      <c r="B461" s="1" t="s">
        <v>321</v>
      </c>
      <c r="C461" s="1" t="s">
        <v>11</v>
      </c>
      <c r="D461" s="1" t="s">
        <v>27</v>
      </c>
      <c r="E461" s="1" t="s">
        <v>324</v>
      </c>
      <c r="F461" s="1">
        <v>19.03</v>
      </c>
      <c r="G461" s="1"/>
      <c r="H461" s="2">
        <f t="shared" si="7"/>
        <v>-19.03</v>
      </c>
      <c r="I461" s="16" t="str">
        <f>TEXT(Table3[[#This Row],[Date]],"mmm")</f>
        <v>Oct</v>
      </c>
    </row>
    <row r="462" spans="1:9" x14ac:dyDescent="0.3">
      <c r="A462" s="8" t="s">
        <v>246</v>
      </c>
      <c r="B462" s="1" t="s">
        <v>321</v>
      </c>
      <c r="C462" s="1" t="s">
        <v>11</v>
      </c>
      <c r="D462" s="1" t="s">
        <v>27</v>
      </c>
      <c r="E462" s="1" t="s">
        <v>324</v>
      </c>
      <c r="F462" s="1">
        <v>67.48</v>
      </c>
      <c r="G462" s="1"/>
      <c r="H462" s="2">
        <f t="shared" si="7"/>
        <v>-67.48</v>
      </c>
      <c r="I462" s="16" t="str">
        <f>TEXT(Table3[[#This Row],[Date]],"mmm")</f>
        <v>Oct</v>
      </c>
    </row>
    <row r="463" spans="1:9" x14ac:dyDescent="0.3">
      <c r="A463" s="8" t="s">
        <v>247</v>
      </c>
      <c r="B463" s="1" t="s">
        <v>321</v>
      </c>
      <c r="C463" s="1" t="s">
        <v>10</v>
      </c>
      <c r="D463" s="1" t="s">
        <v>22</v>
      </c>
      <c r="E463" s="1" t="s">
        <v>324</v>
      </c>
      <c r="F463" s="1">
        <v>29.4</v>
      </c>
      <c r="G463" s="1"/>
      <c r="H463" s="2">
        <f t="shared" si="7"/>
        <v>-29.4</v>
      </c>
      <c r="I463" s="16" t="str">
        <f>TEXT(Table3[[#This Row],[Date]],"mmm")</f>
        <v>Oct</v>
      </c>
    </row>
    <row r="464" spans="1:9" x14ac:dyDescent="0.3">
      <c r="A464" s="8" t="s">
        <v>247</v>
      </c>
      <c r="B464" s="1" t="s">
        <v>321</v>
      </c>
      <c r="C464" s="1" t="s">
        <v>12</v>
      </c>
      <c r="D464" s="1" t="s">
        <v>24</v>
      </c>
      <c r="E464" s="1" t="s">
        <v>324</v>
      </c>
      <c r="F464" s="1">
        <v>228.66</v>
      </c>
      <c r="G464" s="1"/>
      <c r="H464" s="2">
        <f t="shared" si="7"/>
        <v>-228.66</v>
      </c>
      <c r="I464" s="16" t="str">
        <f>TEXT(Table3[[#This Row],[Date]],"mmm")</f>
        <v>Oct</v>
      </c>
    </row>
    <row r="465" spans="1:9" x14ac:dyDescent="0.3">
      <c r="A465" s="8" t="s">
        <v>248</v>
      </c>
      <c r="B465" s="1" t="s">
        <v>321</v>
      </c>
      <c r="C465" s="1" t="s">
        <v>8</v>
      </c>
      <c r="D465" s="1" t="s">
        <v>16</v>
      </c>
      <c r="E465" s="1" t="s">
        <v>324</v>
      </c>
      <c r="F465" s="1">
        <v>8.0500000000000007</v>
      </c>
      <c r="G465" s="1"/>
      <c r="H465" s="2">
        <f t="shared" si="7"/>
        <v>-8.0500000000000007</v>
      </c>
      <c r="I465" s="16" t="str">
        <f>TEXT(Table3[[#This Row],[Date]],"mmm")</f>
        <v>Oct</v>
      </c>
    </row>
    <row r="466" spans="1:9" x14ac:dyDescent="0.3">
      <c r="A466" s="8" t="s">
        <v>249</v>
      </c>
      <c r="B466" s="1" t="s">
        <v>321</v>
      </c>
      <c r="C466" s="1" t="s">
        <v>12</v>
      </c>
      <c r="D466" s="1" t="s">
        <v>29</v>
      </c>
      <c r="E466" s="1" t="s">
        <v>324</v>
      </c>
      <c r="F466" s="1">
        <v>43.28</v>
      </c>
      <c r="G466" s="1"/>
      <c r="H466" s="2">
        <f t="shared" si="7"/>
        <v>-43.28</v>
      </c>
      <c r="I466" s="16" t="str">
        <f>TEXT(Table3[[#This Row],[Date]],"mmm")</f>
        <v>Oct</v>
      </c>
    </row>
    <row r="467" spans="1:9" x14ac:dyDescent="0.3">
      <c r="A467" s="8" t="s">
        <v>249</v>
      </c>
      <c r="B467" s="1" t="s">
        <v>320</v>
      </c>
      <c r="C467" s="1" t="s">
        <v>8</v>
      </c>
      <c r="D467" s="1" t="s">
        <v>28</v>
      </c>
      <c r="E467" s="1" t="s">
        <v>324</v>
      </c>
      <c r="F467" s="1">
        <v>169.96</v>
      </c>
      <c r="G467" s="1"/>
      <c r="H467" s="2">
        <f t="shared" si="7"/>
        <v>-169.96</v>
      </c>
      <c r="I467" s="16" t="str">
        <f>TEXT(Table3[[#This Row],[Date]],"mmm")</f>
        <v>Oct</v>
      </c>
    </row>
    <row r="468" spans="1:9" x14ac:dyDescent="0.3">
      <c r="A468" s="8" t="s">
        <v>249</v>
      </c>
      <c r="B468" s="1" t="s">
        <v>321</v>
      </c>
      <c r="C468" s="1" t="s">
        <v>10</v>
      </c>
      <c r="D468" s="1" t="s">
        <v>19</v>
      </c>
      <c r="E468" s="1" t="s">
        <v>324</v>
      </c>
      <c r="F468" s="1">
        <v>29.46</v>
      </c>
      <c r="G468" s="1"/>
      <c r="H468" s="2">
        <f t="shared" si="7"/>
        <v>-29.46</v>
      </c>
      <c r="I468" s="16" t="str">
        <f>TEXT(Table3[[#This Row],[Date]],"mmm")</f>
        <v>Oct</v>
      </c>
    </row>
    <row r="469" spans="1:9" x14ac:dyDescent="0.3">
      <c r="A469" s="8" t="s">
        <v>250</v>
      </c>
      <c r="B469" s="1" t="s">
        <v>321</v>
      </c>
      <c r="C469" s="1" t="s">
        <v>12</v>
      </c>
      <c r="D469" s="1" t="s">
        <v>29</v>
      </c>
      <c r="E469" s="1" t="s">
        <v>324</v>
      </c>
      <c r="F469" s="1">
        <v>163.35</v>
      </c>
      <c r="G469" s="1"/>
      <c r="H469" s="2">
        <f t="shared" si="7"/>
        <v>-163.35</v>
      </c>
      <c r="I469" s="16" t="str">
        <f>TEXT(Table3[[#This Row],[Date]],"mmm")</f>
        <v>Oct</v>
      </c>
    </row>
    <row r="470" spans="1:9" x14ac:dyDescent="0.3">
      <c r="A470" s="8" t="s">
        <v>251</v>
      </c>
      <c r="B470" s="1" t="s">
        <v>321</v>
      </c>
      <c r="C470" s="1" t="s">
        <v>10</v>
      </c>
      <c r="D470" s="1" t="s">
        <v>19</v>
      </c>
      <c r="E470" s="1" t="s">
        <v>324</v>
      </c>
      <c r="F470" s="1">
        <v>73.27</v>
      </c>
      <c r="G470" s="1"/>
      <c r="H470" s="2">
        <f t="shared" si="7"/>
        <v>-73.27</v>
      </c>
      <c r="I470" s="16" t="str">
        <f>TEXT(Table3[[#This Row],[Date]],"mmm")</f>
        <v>Oct</v>
      </c>
    </row>
    <row r="471" spans="1:9" x14ac:dyDescent="0.3">
      <c r="A471" s="8" t="s">
        <v>251</v>
      </c>
      <c r="B471" s="1" t="s">
        <v>320</v>
      </c>
      <c r="C471" s="1" t="s">
        <v>10</v>
      </c>
      <c r="D471" s="1" t="s">
        <v>19</v>
      </c>
      <c r="E471" s="1" t="s">
        <v>324</v>
      </c>
      <c r="F471" s="1">
        <v>93.34</v>
      </c>
      <c r="G471" s="1"/>
      <c r="H471" s="2">
        <f t="shared" si="7"/>
        <v>-93.34</v>
      </c>
      <c r="I471" s="16" t="str">
        <f>TEXT(Table3[[#This Row],[Date]],"mmm")</f>
        <v>Oct</v>
      </c>
    </row>
    <row r="472" spans="1:9" x14ac:dyDescent="0.3">
      <c r="A472" s="8" t="s">
        <v>252</v>
      </c>
      <c r="B472" s="1" t="s">
        <v>321</v>
      </c>
      <c r="C472" s="1" t="s">
        <v>6</v>
      </c>
      <c r="D472" s="1" t="s">
        <v>18</v>
      </c>
      <c r="E472" s="1" t="s">
        <v>324</v>
      </c>
      <c r="F472" s="1">
        <v>81.430000000000007</v>
      </c>
      <c r="G472" s="1"/>
      <c r="H472" s="2">
        <f t="shared" si="7"/>
        <v>-81.430000000000007</v>
      </c>
      <c r="I472" s="16" t="str">
        <f>TEXT(Table3[[#This Row],[Date]],"mmm")</f>
        <v>Oct</v>
      </c>
    </row>
    <row r="473" spans="1:9" x14ac:dyDescent="0.3">
      <c r="A473" s="8" t="s">
        <v>253</v>
      </c>
      <c r="B473" s="1" t="s">
        <v>320</v>
      </c>
      <c r="C473" s="1" t="s">
        <v>7</v>
      </c>
      <c r="D473" s="1" t="s">
        <v>15</v>
      </c>
      <c r="E473" s="1" t="s">
        <v>324</v>
      </c>
      <c r="F473" s="1">
        <v>44.49</v>
      </c>
      <c r="G473" s="1"/>
      <c r="H473" s="2">
        <f t="shared" si="7"/>
        <v>-44.49</v>
      </c>
      <c r="I473" s="16" t="str">
        <f>TEXT(Table3[[#This Row],[Date]],"mmm")</f>
        <v>Oct</v>
      </c>
    </row>
    <row r="474" spans="1:9" x14ac:dyDescent="0.3">
      <c r="A474" s="8" t="s">
        <v>254</v>
      </c>
      <c r="B474" s="1" t="s">
        <v>320</v>
      </c>
      <c r="C474" s="1" t="s">
        <v>8</v>
      </c>
      <c r="D474" s="1" t="s">
        <v>28</v>
      </c>
      <c r="E474" s="1" t="s">
        <v>324</v>
      </c>
      <c r="F474" s="1">
        <v>218.01</v>
      </c>
      <c r="G474" s="1"/>
      <c r="H474" s="2">
        <f t="shared" si="7"/>
        <v>-218.01</v>
      </c>
      <c r="I474" s="16" t="str">
        <f>TEXT(Table3[[#This Row],[Date]],"mmm")</f>
        <v>Oct</v>
      </c>
    </row>
    <row r="475" spans="1:9" x14ac:dyDescent="0.3">
      <c r="A475" s="8" t="s">
        <v>254</v>
      </c>
      <c r="B475" s="1" t="s">
        <v>320</v>
      </c>
      <c r="C475" s="1" t="s">
        <v>8</v>
      </c>
      <c r="D475" s="1" t="s">
        <v>26</v>
      </c>
      <c r="E475" s="1" t="s">
        <v>324</v>
      </c>
      <c r="F475" s="1">
        <v>8.31</v>
      </c>
      <c r="G475" s="1"/>
      <c r="H475" s="2">
        <f t="shared" si="7"/>
        <v>-8.31</v>
      </c>
      <c r="I475" s="16" t="str">
        <f>TEXT(Table3[[#This Row],[Date]],"mmm")</f>
        <v>Oct</v>
      </c>
    </row>
    <row r="476" spans="1:9" x14ac:dyDescent="0.3">
      <c r="A476" s="8" t="s">
        <v>254</v>
      </c>
      <c r="B476" s="1" t="s">
        <v>321</v>
      </c>
      <c r="C476" s="1" t="s">
        <v>9</v>
      </c>
      <c r="D476" s="1" t="s">
        <v>21</v>
      </c>
      <c r="E476" s="1" t="s">
        <v>324</v>
      </c>
      <c r="F476" s="1">
        <v>24.24</v>
      </c>
      <c r="G476" s="1"/>
      <c r="H476" s="2">
        <f t="shared" si="7"/>
        <v>-24.24</v>
      </c>
      <c r="I476" s="16" t="str">
        <f>TEXT(Table3[[#This Row],[Date]],"mmm")</f>
        <v>Oct</v>
      </c>
    </row>
    <row r="477" spans="1:9" x14ac:dyDescent="0.3">
      <c r="A477" s="8" t="s">
        <v>255</v>
      </c>
      <c r="B477" s="1" t="s">
        <v>321</v>
      </c>
      <c r="C477" s="1" t="s">
        <v>11</v>
      </c>
      <c r="D477" s="1" t="s">
        <v>25</v>
      </c>
      <c r="E477" s="1" t="s">
        <v>324</v>
      </c>
      <c r="F477" s="1">
        <v>223.94</v>
      </c>
      <c r="G477" s="1"/>
      <c r="H477" s="2">
        <f t="shared" si="7"/>
        <v>-223.94</v>
      </c>
      <c r="I477" s="16" t="str">
        <f>TEXT(Table3[[#This Row],[Date]],"mmm")</f>
        <v>Oct</v>
      </c>
    </row>
    <row r="478" spans="1:9" x14ac:dyDescent="0.3">
      <c r="A478" s="8" t="s">
        <v>256</v>
      </c>
      <c r="B478" s="1" t="s">
        <v>320</v>
      </c>
      <c r="C478" s="1" t="s">
        <v>10</v>
      </c>
      <c r="D478" s="1" t="s">
        <v>22</v>
      </c>
      <c r="E478" s="1" t="s">
        <v>324</v>
      </c>
      <c r="F478" s="1">
        <v>95.86</v>
      </c>
      <c r="G478" s="1"/>
      <c r="H478" s="2">
        <f t="shared" si="7"/>
        <v>-95.86</v>
      </c>
      <c r="I478" s="16" t="str">
        <f>TEXT(Table3[[#This Row],[Date]],"mmm")</f>
        <v>Oct</v>
      </c>
    </row>
    <row r="479" spans="1:9" x14ac:dyDescent="0.3">
      <c r="A479" s="8" t="s">
        <v>257</v>
      </c>
      <c r="B479" s="1" t="s">
        <v>321</v>
      </c>
      <c r="C479" s="1" t="s">
        <v>8</v>
      </c>
      <c r="D479" s="1" t="s">
        <v>16</v>
      </c>
      <c r="E479" s="1" t="s">
        <v>324</v>
      </c>
      <c r="F479" s="1">
        <v>36.090000000000003</v>
      </c>
      <c r="G479" s="1"/>
      <c r="H479" s="2">
        <f t="shared" si="7"/>
        <v>-36.090000000000003</v>
      </c>
      <c r="I479" s="16" t="str">
        <f>TEXT(Table3[[#This Row],[Date]],"mmm")</f>
        <v>Oct</v>
      </c>
    </row>
    <row r="480" spans="1:9" x14ac:dyDescent="0.3">
      <c r="A480" s="8" t="s">
        <v>257</v>
      </c>
      <c r="B480" s="1" t="s">
        <v>321</v>
      </c>
      <c r="C480" s="1" t="s">
        <v>12</v>
      </c>
      <c r="D480" s="1" t="s">
        <v>29</v>
      </c>
      <c r="E480" s="1" t="s">
        <v>324</v>
      </c>
      <c r="F480" s="1">
        <v>192.05</v>
      </c>
      <c r="G480" s="1"/>
      <c r="H480" s="2">
        <f t="shared" si="7"/>
        <v>-192.05</v>
      </c>
      <c r="I480" s="16" t="str">
        <f>TEXT(Table3[[#This Row],[Date]],"mmm")</f>
        <v>Oct</v>
      </c>
    </row>
    <row r="481" spans="1:9" x14ac:dyDescent="0.3">
      <c r="A481" s="8" t="s">
        <v>258</v>
      </c>
      <c r="B481" s="1" t="s">
        <v>321</v>
      </c>
      <c r="C481" s="1" t="s">
        <v>9</v>
      </c>
      <c r="D481" s="1" t="s">
        <v>21</v>
      </c>
      <c r="E481" s="1" t="s">
        <v>324</v>
      </c>
      <c r="F481" s="1">
        <v>199.06</v>
      </c>
      <c r="G481" s="1"/>
      <c r="H481" s="2">
        <f t="shared" si="7"/>
        <v>-199.06</v>
      </c>
      <c r="I481" s="16" t="str">
        <f>TEXT(Table3[[#This Row],[Date]],"mmm")</f>
        <v>Oct</v>
      </c>
    </row>
    <row r="482" spans="1:9" x14ac:dyDescent="0.3">
      <c r="A482" s="8" t="s">
        <v>259</v>
      </c>
      <c r="B482" s="1" t="s">
        <v>321</v>
      </c>
      <c r="C482" s="1" t="s">
        <v>10</v>
      </c>
      <c r="D482" s="1" t="s">
        <v>22</v>
      </c>
      <c r="E482" s="1" t="s">
        <v>324</v>
      </c>
      <c r="F482" s="1">
        <v>103.08</v>
      </c>
      <c r="G482" s="1"/>
      <c r="H482" s="2">
        <f t="shared" si="7"/>
        <v>-103.08</v>
      </c>
      <c r="I482" s="16" t="str">
        <f>TEXT(Table3[[#This Row],[Date]],"mmm")</f>
        <v>Oct</v>
      </c>
    </row>
    <row r="483" spans="1:9" x14ac:dyDescent="0.3">
      <c r="A483" s="8" t="s">
        <v>259</v>
      </c>
      <c r="B483" s="1" t="s">
        <v>320</v>
      </c>
      <c r="C483" s="1" t="s">
        <v>9</v>
      </c>
      <c r="D483" s="1" t="s">
        <v>17</v>
      </c>
      <c r="E483" s="1" t="s">
        <v>324</v>
      </c>
      <c r="F483" s="1">
        <v>191.44</v>
      </c>
      <c r="G483" s="1"/>
      <c r="H483" s="2">
        <f t="shared" si="7"/>
        <v>-191.44</v>
      </c>
      <c r="I483" s="16" t="str">
        <f>TEXT(Table3[[#This Row],[Date]],"mmm")</f>
        <v>Oct</v>
      </c>
    </row>
    <row r="484" spans="1:9" x14ac:dyDescent="0.3">
      <c r="A484" s="8" t="s">
        <v>259</v>
      </c>
      <c r="B484" s="1" t="s">
        <v>320</v>
      </c>
      <c r="C484" s="1" t="s">
        <v>9</v>
      </c>
      <c r="D484" s="1" t="s">
        <v>17</v>
      </c>
      <c r="E484" s="1" t="s">
        <v>324</v>
      </c>
      <c r="F484" s="1">
        <v>169.95</v>
      </c>
      <c r="G484" s="1"/>
      <c r="H484" s="2">
        <f t="shared" si="7"/>
        <v>-169.95</v>
      </c>
      <c r="I484" s="16" t="str">
        <f>TEXT(Table3[[#This Row],[Date]],"mmm")</f>
        <v>Oct</v>
      </c>
    </row>
    <row r="485" spans="1:9" x14ac:dyDescent="0.3">
      <c r="A485" s="8" t="s">
        <v>260</v>
      </c>
      <c r="B485" s="1" t="s">
        <v>320</v>
      </c>
      <c r="C485" s="1" t="s">
        <v>10</v>
      </c>
      <c r="D485" s="1" t="s">
        <v>22</v>
      </c>
      <c r="E485" s="1" t="s">
        <v>324</v>
      </c>
      <c r="F485" s="1">
        <v>141.57</v>
      </c>
      <c r="G485" s="1"/>
      <c r="H485" s="2">
        <f t="shared" si="7"/>
        <v>-141.57</v>
      </c>
      <c r="I485" s="16" t="str">
        <f>TEXT(Table3[[#This Row],[Date]],"mmm")</f>
        <v>Oct</v>
      </c>
    </row>
    <row r="486" spans="1:9" x14ac:dyDescent="0.3">
      <c r="A486" s="8" t="s">
        <v>261</v>
      </c>
      <c r="B486" s="1" t="s">
        <v>321</v>
      </c>
      <c r="C486" s="1" t="s">
        <v>6</v>
      </c>
      <c r="D486" s="1" t="s">
        <v>18</v>
      </c>
      <c r="E486" s="1" t="s">
        <v>324</v>
      </c>
      <c r="F486" s="1">
        <v>209.81</v>
      </c>
      <c r="G486" s="1"/>
      <c r="H486" s="2">
        <f t="shared" si="7"/>
        <v>-209.81</v>
      </c>
      <c r="I486" s="16" t="str">
        <f>TEXT(Table3[[#This Row],[Date]],"mmm")</f>
        <v>Oct</v>
      </c>
    </row>
    <row r="487" spans="1:9" x14ac:dyDescent="0.3">
      <c r="A487" s="8" t="s">
        <v>261</v>
      </c>
      <c r="B487" s="1" t="s">
        <v>320</v>
      </c>
      <c r="C487" s="1" t="s">
        <v>11</v>
      </c>
      <c r="D487" s="1" t="s">
        <v>20</v>
      </c>
      <c r="E487" s="1" t="s">
        <v>324</v>
      </c>
      <c r="F487" s="1">
        <v>74.3</v>
      </c>
      <c r="G487" s="1"/>
      <c r="H487" s="2">
        <f t="shared" si="7"/>
        <v>-74.3</v>
      </c>
      <c r="I487" s="16" t="str">
        <f>TEXT(Table3[[#This Row],[Date]],"mmm")</f>
        <v>Oct</v>
      </c>
    </row>
    <row r="488" spans="1:9" x14ac:dyDescent="0.3">
      <c r="A488" s="8" t="s">
        <v>261</v>
      </c>
      <c r="B488" s="1" t="s">
        <v>321</v>
      </c>
      <c r="C488" s="1" t="s">
        <v>7</v>
      </c>
      <c r="D488" s="1" t="s">
        <v>23</v>
      </c>
      <c r="E488" s="1" t="s">
        <v>324</v>
      </c>
      <c r="F488" s="1">
        <v>229.3</v>
      </c>
      <c r="G488" s="1"/>
      <c r="H488" s="2">
        <f t="shared" si="7"/>
        <v>-229.3</v>
      </c>
      <c r="I488" s="16" t="str">
        <f>TEXT(Table3[[#This Row],[Date]],"mmm")</f>
        <v>Oct</v>
      </c>
    </row>
    <row r="489" spans="1:9" x14ac:dyDescent="0.3">
      <c r="A489" s="8" t="s">
        <v>261</v>
      </c>
      <c r="B489" s="1" t="s">
        <v>321</v>
      </c>
      <c r="C489" s="1" t="s">
        <v>6</v>
      </c>
      <c r="D489" s="1" t="s">
        <v>14</v>
      </c>
      <c r="E489" s="1" t="s">
        <v>324</v>
      </c>
      <c r="F489" s="1">
        <v>70.05</v>
      </c>
      <c r="G489" s="1"/>
      <c r="H489" s="2">
        <f t="shared" si="7"/>
        <v>-70.05</v>
      </c>
      <c r="I489" s="16" t="str">
        <f>TEXT(Table3[[#This Row],[Date]],"mmm")</f>
        <v>Oct</v>
      </c>
    </row>
    <row r="490" spans="1:9" x14ac:dyDescent="0.3">
      <c r="A490" s="8" t="s">
        <v>261</v>
      </c>
      <c r="B490" s="1" t="s">
        <v>320</v>
      </c>
      <c r="C490" s="1" t="s">
        <v>11</v>
      </c>
      <c r="D490" s="1" t="s">
        <v>25</v>
      </c>
      <c r="E490" s="1" t="s">
        <v>324</v>
      </c>
      <c r="F490" s="1">
        <v>201.2</v>
      </c>
      <c r="G490" s="1"/>
      <c r="H490" s="2">
        <f t="shared" si="7"/>
        <v>-201.2</v>
      </c>
      <c r="I490" s="16" t="str">
        <f>TEXT(Table3[[#This Row],[Date]],"mmm")</f>
        <v>Oct</v>
      </c>
    </row>
    <row r="491" spans="1:9" x14ac:dyDescent="0.3">
      <c r="A491" s="8" t="s">
        <v>262</v>
      </c>
      <c r="B491" s="1" t="s">
        <v>320</v>
      </c>
      <c r="C491" s="1" t="s">
        <v>11</v>
      </c>
      <c r="D491" s="1" t="s">
        <v>25</v>
      </c>
      <c r="E491" s="1" t="s">
        <v>324</v>
      </c>
      <c r="F491" s="1">
        <v>211.1</v>
      </c>
      <c r="G491" s="1"/>
      <c r="H491" s="2">
        <f t="shared" si="7"/>
        <v>-211.1</v>
      </c>
      <c r="I491" s="16" t="str">
        <f>TEXT(Table3[[#This Row],[Date]],"mmm")</f>
        <v>Oct</v>
      </c>
    </row>
    <row r="492" spans="1:9" x14ac:dyDescent="0.3">
      <c r="A492" s="8" t="s">
        <v>263</v>
      </c>
      <c r="B492" s="1" t="s">
        <v>320</v>
      </c>
      <c r="C492" s="1" t="s">
        <v>8</v>
      </c>
      <c r="D492" s="1" t="s">
        <v>16</v>
      </c>
      <c r="E492" s="1" t="s">
        <v>324</v>
      </c>
      <c r="F492" s="1">
        <v>79.28</v>
      </c>
      <c r="G492" s="1"/>
      <c r="H492" s="2">
        <f t="shared" si="7"/>
        <v>-79.28</v>
      </c>
      <c r="I492" s="16" t="str">
        <f>TEXT(Table3[[#This Row],[Date]],"mmm")</f>
        <v>Oct</v>
      </c>
    </row>
    <row r="493" spans="1:9" x14ac:dyDescent="0.3">
      <c r="A493" s="8" t="s">
        <v>264</v>
      </c>
      <c r="B493" s="1" t="s">
        <v>320</v>
      </c>
      <c r="C493" s="1" t="s">
        <v>7</v>
      </c>
      <c r="D493" s="1" t="s">
        <v>23</v>
      </c>
      <c r="E493" s="1" t="s">
        <v>324</v>
      </c>
      <c r="F493" s="1">
        <v>110.75</v>
      </c>
      <c r="G493" s="1"/>
      <c r="H493" s="2">
        <f t="shared" si="7"/>
        <v>-110.75</v>
      </c>
      <c r="I493" s="16" t="str">
        <f>TEXT(Table3[[#This Row],[Date]],"mmm")</f>
        <v>Oct</v>
      </c>
    </row>
    <row r="494" spans="1:9" x14ac:dyDescent="0.3">
      <c r="A494" s="8" t="s">
        <v>265</v>
      </c>
      <c r="B494" s="1" t="s">
        <v>321</v>
      </c>
      <c r="C494" s="1" t="s">
        <v>6</v>
      </c>
      <c r="D494" s="1" t="s">
        <v>18</v>
      </c>
      <c r="E494" s="1" t="s">
        <v>324</v>
      </c>
      <c r="F494" s="1">
        <v>113.54</v>
      </c>
      <c r="G494" s="1"/>
      <c r="H494" s="2">
        <f t="shared" si="7"/>
        <v>-113.54</v>
      </c>
      <c r="I494" s="16" t="str">
        <f>TEXT(Table3[[#This Row],[Date]],"mmm")</f>
        <v>Oct</v>
      </c>
    </row>
    <row r="495" spans="1:9" x14ac:dyDescent="0.3">
      <c r="A495" s="8" t="s">
        <v>266</v>
      </c>
      <c r="B495" s="1" t="s">
        <v>321</v>
      </c>
      <c r="C495" s="1" t="s">
        <v>9</v>
      </c>
      <c r="D495" s="1" t="s">
        <v>17</v>
      </c>
      <c r="E495" s="1" t="s">
        <v>324</v>
      </c>
      <c r="F495" s="1">
        <v>118.61</v>
      </c>
      <c r="G495" s="1"/>
      <c r="H495" s="2">
        <f t="shared" si="7"/>
        <v>-118.61</v>
      </c>
      <c r="I495" s="16" t="str">
        <f>TEXT(Table3[[#This Row],[Date]],"mmm")</f>
        <v>Oct</v>
      </c>
    </row>
    <row r="496" spans="1:9" x14ac:dyDescent="0.3">
      <c r="A496" s="8" t="s">
        <v>267</v>
      </c>
      <c r="B496" s="1" t="s">
        <v>320</v>
      </c>
      <c r="C496" s="1" t="s">
        <v>8</v>
      </c>
      <c r="D496" s="1" t="s">
        <v>26</v>
      </c>
      <c r="E496" s="1" t="s">
        <v>324</v>
      </c>
      <c r="F496" s="1">
        <v>160.36000000000001</v>
      </c>
      <c r="G496" s="1"/>
      <c r="H496" s="2">
        <f t="shared" si="7"/>
        <v>-160.36000000000001</v>
      </c>
      <c r="I496" s="16" t="str">
        <f>TEXT(Table3[[#This Row],[Date]],"mmm")</f>
        <v>Oct</v>
      </c>
    </row>
    <row r="497" spans="1:9" x14ac:dyDescent="0.3">
      <c r="A497" s="8" t="s">
        <v>268</v>
      </c>
      <c r="B497" s="1" t="s">
        <v>321</v>
      </c>
      <c r="C497" s="1" t="s">
        <v>11</v>
      </c>
      <c r="D497" s="1" t="s">
        <v>27</v>
      </c>
      <c r="E497" s="1" t="s">
        <v>324</v>
      </c>
      <c r="F497" s="1">
        <v>204.06</v>
      </c>
      <c r="G497" s="1"/>
      <c r="H497" s="2">
        <f t="shared" si="7"/>
        <v>-204.06</v>
      </c>
      <c r="I497" s="16" t="str">
        <f>TEXT(Table3[[#This Row],[Date]],"mmm")</f>
        <v>Oct</v>
      </c>
    </row>
    <row r="498" spans="1:9" x14ac:dyDescent="0.3">
      <c r="A498" s="8" t="s">
        <v>268</v>
      </c>
      <c r="B498" s="1" t="s">
        <v>321</v>
      </c>
      <c r="C498" s="1" t="s">
        <v>9</v>
      </c>
      <c r="D498" s="1" t="s">
        <v>17</v>
      </c>
      <c r="E498" s="1" t="s">
        <v>324</v>
      </c>
      <c r="F498" s="1">
        <v>234.37</v>
      </c>
      <c r="G498" s="1"/>
      <c r="H498" s="2">
        <f t="shared" si="7"/>
        <v>-234.37</v>
      </c>
      <c r="I498" s="16" t="str">
        <f>TEXT(Table3[[#This Row],[Date]],"mmm")</f>
        <v>Oct</v>
      </c>
    </row>
    <row r="499" spans="1:9" x14ac:dyDescent="0.3">
      <c r="A499" s="8" t="s">
        <v>268</v>
      </c>
      <c r="B499" s="1" t="s">
        <v>320</v>
      </c>
      <c r="C499" s="1" t="s">
        <v>10</v>
      </c>
      <c r="D499" s="1" t="s">
        <v>22</v>
      </c>
      <c r="E499" s="1" t="s">
        <v>324</v>
      </c>
      <c r="F499" s="1">
        <v>202.21</v>
      </c>
      <c r="G499" s="1"/>
      <c r="H499" s="2">
        <f t="shared" si="7"/>
        <v>-202.21</v>
      </c>
      <c r="I499" s="16" t="str">
        <f>TEXT(Table3[[#This Row],[Date]],"mmm")</f>
        <v>Oct</v>
      </c>
    </row>
    <row r="500" spans="1:9" x14ac:dyDescent="0.3">
      <c r="A500" s="8" t="s">
        <v>269</v>
      </c>
      <c r="B500" s="1" t="s">
        <v>320</v>
      </c>
      <c r="C500" s="1" t="s">
        <v>11</v>
      </c>
      <c r="D500" s="1" t="s">
        <v>25</v>
      </c>
      <c r="E500" s="1" t="s">
        <v>324</v>
      </c>
      <c r="F500" s="1">
        <v>53.05</v>
      </c>
      <c r="G500" s="1"/>
      <c r="H500" s="2">
        <f t="shared" si="7"/>
        <v>-53.05</v>
      </c>
      <c r="I500" s="16" t="str">
        <f>TEXT(Table3[[#This Row],[Date]],"mmm")</f>
        <v>Oct</v>
      </c>
    </row>
    <row r="501" spans="1:9" x14ac:dyDescent="0.3">
      <c r="A501" s="8" t="s">
        <v>269</v>
      </c>
      <c r="B501" s="1" t="s">
        <v>320</v>
      </c>
      <c r="C501" s="1" t="s">
        <v>9</v>
      </c>
      <c r="D501" s="1" t="s">
        <v>17</v>
      </c>
      <c r="E501" s="1" t="s">
        <v>324</v>
      </c>
      <c r="F501" s="1">
        <v>206.13</v>
      </c>
      <c r="G501" s="1"/>
      <c r="H501" s="2">
        <f t="shared" si="7"/>
        <v>-206.13</v>
      </c>
      <c r="I501" s="16" t="str">
        <f>TEXT(Table3[[#This Row],[Date]],"mmm")</f>
        <v>Oct</v>
      </c>
    </row>
    <row r="502" spans="1:9" x14ac:dyDescent="0.3">
      <c r="A502" s="8" t="s">
        <v>269</v>
      </c>
      <c r="B502" s="1" t="s">
        <v>322</v>
      </c>
      <c r="C502" s="1" t="s">
        <v>12</v>
      </c>
      <c r="D502" s="1" t="s">
        <v>24</v>
      </c>
      <c r="E502" s="1" t="s">
        <v>324</v>
      </c>
      <c r="F502" s="1">
        <v>93.33</v>
      </c>
      <c r="G502" s="1"/>
      <c r="H502" s="2">
        <f t="shared" si="7"/>
        <v>-93.33</v>
      </c>
      <c r="I502" s="16" t="str">
        <f>TEXT(Table3[[#This Row],[Date]],"mmm")</f>
        <v>Oct</v>
      </c>
    </row>
    <row r="503" spans="1:9" x14ac:dyDescent="0.3">
      <c r="A503" s="8" t="s">
        <v>269</v>
      </c>
      <c r="B503" s="1" t="s">
        <v>320</v>
      </c>
      <c r="C503" s="1" t="s">
        <v>10</v>
      </c>
      <c r="D503" s="1" t="s">
        <v>22</v>
      </c>
      <c r="E503" s="1" t="s">
        <v>324</v>
      </c>
      <c r="F503" s="1">
        <v>217.12</v>
      </c>
      <c r="G503" s="1"/>
      <c r="H503" s="2">
        <f t="shared" si="7"/>
        <v>-217.12</v>
      </c>
      <c r="I503" s="16" t="str">
        <f>TEXT(Table3[[#This Row],[Date]],"mmm")</f>
        <v>Oct</v>
      </c>
    </row>
    <row r="504" spans="1:9" x14ac:dyDescent="0.3">
      <c r="A504" s="8" t="s">
        <v>270</v>
      </c>
      <c r="B504" s="1" t="s">
        <v>320</v>
      </c>
      <c r="C504" s="1" t="s">
        <v>12</v>
      </c>
      <c r="D504" s="1" t="s">
        <v>29</v>
      </c>
      <c r="E504" s="1" t="s">
        <v>324</v>
      </c>
      <c r="F504" s="1">
        <v>127.72</v>
      </c>
      <c r="G504" s="1"/>
      <c r="H504" s="2">
        <f t="shared" si="7"/>
        <v>-127.72</v>
      </c>
      <c r="I504" s="16" t="str">
        <f>TEXT(Table3[[#This Row],[Date]],"mmm")</f>
        <v>Oct</v>
      </c>
    </row>
    <row r="505" spans="1:9" x14ac:dyDescent="0.3">
      <c r="A505" s="8" t="s">
        <v>270</v>
      </c>
      <c r="B505" s="1" t="s">
        <v>320</v>
      </c>
      <c r="C505" s="1" t="s">
        <v>9</v>
      </c>
      <c r="D505" s="1" t="s">
        <v>21</v>
      </c>
      <c r="E505" s="1" t="s">
        <v>324</v>
      </c>
      <c r="F505" s="1">
        <v>160.28</v>
      </c>
      <c r="G505" s="1"/>
      <c r="H505" s="2">
        <f t="shared" si="7"/>
        <v>-160.28</v>
      </c>
      <c r="I505" s="16" t="str">
        <f>TEXT(Table3[[#This Row],[Date]],"mmm")</f>
        <v>Oct</v>
      </c>
    </row>
    <row r="506" spans="1:9" x14ac:dyDescent="0.3">
      <c r="A506" s="8" t="s">
        <v>270</v>
      </c>
      <c r="B506" s="1" t="s">
        <v>321</v>
      </c>
      <c r="C506" s="1" t="s">
        <v>8</v>
      </c>
      <c r="D506" s="1" t="s">
        <v>16</v>
      </c>
      <c r="E506" s="1" t="s">
        <v>324</v>
      </c>
      <c r="F506" s="1">
        <v>165.44</v>
      </c>
      <c r="G506" s="1"/>
      <c r="H506" s="2">
        <f t="shared" si="7"/>
        <v>-165.44</v>
      </c>
      <c r="I506" s="16" t="str">
        <f>TEXT(Table3[[#This Row],[Date]],"mmm")</f>
        <v>Oct</v>
      </c>
    </row>
    <row r="507" spans="1:9" x14ac:dyDescent="0.3">
      <c r="A507" s="8" t="s">
        <v>270</v>
      </c>
      <c r="B507" s="1" t="s">
        <v>321</v>
      </c>
      <c r="C507" s="1" t="s">
        <v>12</v>
      </c>
      <c r="D507" s="1" t="s">
        <v>29</v>
      </c>
      <c r="E507" s="1" t="s">
        <v>324</v>
      </c>
      <c r="F507" s="1">
        <v>126.4</v>
      </c>
      <c r="G507" s="1"/>
      <c r="H507" s="2">
        <f t="shared" si="7"/>
        <v>-126.4</v>
      </c>
      <c r="I507" s="16" t="str">
        <f>TEXT(Table3[[#This Row],[Date]],"mmm")</f>
        <v>Oct</v>
      </c>
    </row>
    <row r="508" spans="1:9" x14ac:dyDescent="0.3">
      <c r="A508" s="8" t="s">
        <v>270</v>
      </c>
      <c r="B508" s="1" t="s">
        <v>320</v>
      </c>
      <c r="C508" s="1" t="s">
        <v>11</v>
      </c>
      <c r="D508" s="1" t="s">
        <v>27</v>
      </c>
      <c r="E508" s="1" t="s">
        <v>324</v>
      </c>
      <c r="F508" s="1">
        <v>42.47</v>
      </c>
      <c r="G508" s="1"/>
      <c r="H508" s="2">
        <f t="shared" si="7"/>
        <v>-42.47</v>
      </c>
      <c r="I508" s="16" t="str">
        <f>TEXT(Table3[[#This Row],[Date]],"mmm")</f>
        <v>Oct</v>
      </c>
    </row>
    <row r="509" spans="1:9" x14ac:dyDescent="0.3">
      <c r="A509" s="8" t="s">
        <v>270</v>
      </c>
      <c r="B509" s="1" t="s">
        <v>320</v>
      </c>
      <c r="C509" s="1" t="s">
        <v>6</v>
      </c>
      <c r="D509" s="1" t="s">
        <v>14</v>
      </c>
      <c r="E509" s="1" t="s">
        <v>324</v>
      </c>
      <c r="F509" s="1">
        <v>106.46</v>
      </c>
      <c r="G509" s="1"/>
      <c r="H509" s="2">
        <f t="shared" si="7"/>
        <v>-106.46</v>
      </c>
      <c r="I509" s="16" t="str">
        <f>TEXT(Table3[[#This Row],[Date]],"mmm")</f>
        <v>Oct</v>
      </c>
    </row>
    <row r="510" spans="1:9" x14ac:dyDescent="0.3">
      <c r="A510" s="8" t="s">
        <v>271</v>
      </c>
      <c r="B510" s="1" t="s">
        <v>321</v>
      </c>
      <c r="C510" s="1" t="s">
        <v>11</v>
      </c>
      <c r="D510" s="1" t="s">
        <v>25</v>
      </c>
      <c r="E510" s="1" t="s">
        <v>324</v>
      </c>
      <c r="F510" s="1">
        <v>184.65</v>
      </c>
      <c r="G510" s="1"/>
      <c r="H510" s="2">
        <f t="shared" si="7"/>
        <v>-184.65</v>
      </c>
      <c r="I510" s="16" t="str">
        <f>TEXT(Table3[[#This Row],[Date]],"mmm")</f>
        <v>Oct</v>
      </c>
    </row>
    <row r="511" spans="1:9" x14ac:dyDescent="0.3">
      <c r="A511" s="8" t="s">
        <v>271</v>
      </c>
      <c r="B511" s="1" t="s">
        <v>320</v>
      </c>
      <c r="C511" s="1" t="s">
        <v>13</v>
      </c>
      <c r="D511" s="1" t="s">
        <v>30</v>
      </c>
      <c r="E511" s="1" t="s">
        <v>13</v>
      </c>
      <c r="F511" s="1"/>
      <c r="G511" s="1">
        <v>7461</v>
      </c>
      <c r="H511" s="2">
        <v>7461</v>
      </c>
      <c r="I511" s="16" t="str">
        <f>TEXT(Table3[[#This Row],[Date]],"mmm")</f>
        <v>Oct</v>
      </c>
    </row>
    <row r="512" spans="1:9" x14ac:dyDescent="0.3">
      <c r="A512" s="8" t="s">
        <v>272</v>
      </c>
      <c r="B512" s="1" t="s">
        <v>321</v>
      </c>
      <c r="C512" s="1" t="s">
        <v>6</v>
      </c>
      <c r="D512" s="1" t="s">
        <v>14</v>
      </c>
      <c r="E512" s="1" t="s">
        <v>324</v>
      </c>
      <c r="F512" s="1">
        <v>53.76</v>
      </c>
      <c r="G512" s="1"/>
      <c r="H512" s="2">
        <f t="shared" si="7"/>
        <v>-53.76</v>
      </c>
      <c r="I512" s="16" t="str">
        <f>TEXT(Table3[[#This Row],[Date]],"mmm")</f>
        <v>Nov</v>
      </c>
    </row>
    <row r="513" spans="1:9" x14ac:dyDescent="0.3">
      <c r="A513" s="8" t="s">
        <v>272</v>
      </c>
      <c r="B513" s="1" t="s">
        <v>322</v>
      </c>
      <c r="C513" s="1" t="s">
        <v>12</v>
      </c>
      <c r="D513" s="1" t="s">
        <v>24</v>
      </c>
      <c r="E513" s="1" t="s">
        <v>324</v>
      </c>
      <c r="F513" s="1">
        <v>38.78</v>
      </c>
      <c r="G513" s="1"/>
      <c r="H513" s="2">
        <f t="shared" si="7"/>
        <v>-38.78</v>
      </c>
      <c r="I513" s="16" t="str">
        <f>TEXT(Table3[[#This Row],[Date]],"mmm")</f>
        <v>Nov</v>
      </c>
    </row>
    <row r="514" spans="1:9" x14ac:dyDescent="0.3">
      <c r="A514" s="8" t="s">
        <v>272</v>
      </c>
      <c r="B514" s="1" t="s">
        <v>321</v>
      </c>
      <c r="C514" s="1" t="s">
        <v>9</v>
      </c>
      <c r="D514" s="1" t="s">
        <v>21</v>
      </c>
      <c r="E514" s="1" t="s">
        <v>324</v>
      </c>
      <c r="F514" s="1">
        <v>220.81</v>
      </c>
      <c r="G514" s="1"/>
      <c r="H514" s="2">
        <f t="shared" si="7"/>
        <v>-220.81</v>
      </c>
      <c r="I514" s="16" t="str">
        <f>TEXT(Table3[[#This Row],[Date]],"mmm")</f>
        <v>Nov</v>
      </c>
    </row>
    <row r="515" spans="1:9" x14ac:dyDescent="0.3">
      <c r="A515" s="8" t="s">
        <v>273</v>
      </c>
      <c r="B515" s="1" t="s">
        <v>321</v>
      </c>
      <c r="C515" s="1" t="s">
        <v>8</v>
      </c>
      <c r="D515" s="1" t="s">
        <v>26</v>
      </c>
      <c r="E515" s="1" t="s">
        <v>324</v>
      </c>
      <c r="F515" s="1">
        <v>120.9</v>
      </c>
      <c r="G515" s="1"/>
      <c r="H515" s="2">
        <f t="shared" ref="H515:H578" si="8">F515*-1</f>
        <v>-120.9</v>
      </c>
      <c r="I515" s="16" t="str">
        <f>TEXT(Table3[[#This Row],[Date]],"mmm")</f>
        <v>Nov</v>
      </c>
    </row>
    <row r="516" spans="1:9" x14ac:dyDescent="0.3">
      <c r="A516" s="8" t="s">
        <v>274</v>
      </c>
      <c r="B516" s="1" t="s">
        <v>320</v>
      </c>
      <c r="C516" s="1" t="s">
        <v>11</v>
      </c>
      <c r="D516" s="1" t="s">
        <v>20</v>
      </c>
      <c r="E516" s="1" t="s">
        <v>324</v>
      </c>
      <c r="F516" s="1">
        <v>27.3</v>
      </c>
      <c r="G516" s="1"/>
      <c r="H516" s="2">
        <f t="shared" si="8"/>
        <v>-27.3</v>
      </c>
      <c r="I516" s="16" t="str">
        <f>TEXT(Table3[[#This Row],[Date]],"mmm")</f>
        <v>Nov</v>
      </c>
    </row>
    <row r="517" spans="1:9" x14ac:dyDescent="0.3">
      <c r="A517" s="8" t="s">
        <v>274</v>
      </c>
      <c r="B517" s="1" t="s">
        <v>321</v>
      </c>
      <c r="C517" s="1" t="s">
        <v>9</v>
      </c>
      <c r="D517" s="1" t="s">
        <v>17</v>
      </c>
      <c r="E517" s="1" t="s">
        <v>324</v>
      </c>
      <c r="F517" s="1">
        <v>196.45</v>
      </c>
      <c r="G517" s="1"/>
      <c r="H517" s="2">
        <f t="shared" si="8"/>
        <v>-196.45</v>
      </c>
      <c r="I517" s="16" t="str">
        <f>TEXT(Table3[[#This Row],[Date]],"mmm")</f>
        <v>Nov</v>
      </c>
    </row>
    <row r="518" spans="1:9" x14ac:dyDescent="0.3">
      <c r="A518" s="8" t="s">
        <v>275</v>
      </c>
      <c r="B518" s="1" t="s">
        <v>321</v>
      </c>
      <c r="C518" s="1" t="s">
        <v>10</v>
      </c>
      <c r="D518" s="1" t="s">
        <v>19</v>
      </c>
      <c r="E518" s="1" t="s">
        <v>324</v>
      </c>
      <c r="F518" s="1">
        <v>109.94</v>
      </c>
      <c r="G518" s="1"/>
      <c r="H518" s="2">
        <f t="shared" si="8"/>
        <v>-109.94</v>
      </c>
      <c r="I518" s="16" t="str">
        <f>TEXT(Table3[[#This Row],[Date]],"mmm")</f>
        <v>Nov</v>
      </c>
    </row>
    <row r="519" spans="1:9" x14ac:dyDescent="0.3">
      <c r="A519" s="8" t="s">
        <v>275</v>
      </c>
      <c r="B519" s="1" t="s">
        <v>320</v>
      </c>
      <c r="C519" s="1" t="s">
        <v>9</v>
      </c>
      <c r="D519" s="1" t="s">
        <v>17</v>
      </c>
      <c r="E519" s="1" t="s">
        <v>324</v>
      </c>
      <c r="F519" s="1">
        <v>52.94</v>
      </c>
      <c r="G519" s="1"/>
      <c r="H519" s="2">
        <f t="shared" si="8"/>
        <v>-52.94</v>
      </c>
      <c r="I519" s="16" t="str">
        <f>TEXT(Table3[[#This Row],[Date]],"mmm")</f>
        <v>Nov</v>
      </c>
    </row>
    <row r="520" spans="1:9" x14ac:dyDescent="0.3">
      <c r="A520" s="8" t="s">
        <v>276</v>
      </c>
      <c r="B520" s="1" t="s">
        <v>321</v>
      </c>
      <c r="C520" s="1" t="s">
        <v>11</v>
      </c>
      <c r="D520" s="1" t="s">
        <v>25</v>
      </c>
      <c r="E520" s="1" t="s">
        <v>324</v>
      </c>
      <c r="F520" s="1">
        <v>207.99</v>
      </c>
      <c r="G520" s="1"/>
      <c r="H520" s="2">
        <f t="shared" si="8"/>
        <v>-207.99</v>
      </c>
      <c r="I520" s="16" t="str">
        <f>TEXT(Table3[[#This Row],[Date]],"mmm")</f>
        <v>Nov</v>
      </c>
    </row>
    <row r="521" spans="1:9" x14ac:dyDescent="0.3">
      <c r="A521" s="8" t="s">
        <v>277</v>
      </c>
      <c r="B521" s="1" t="s">
        <v>320</v>
      </c>
      <c r="C521" s="1" t="s">
        <v>6</v>
      </c>
      <c r="D521" s="1" t="s">
        <v>14</v>
      </c>
      <c r="E521" s="1" t="s">
        <v>324</v>
      </c>
      <c r="F521" s="1">
        <v>188.18</v>
      </c>
      <c r="G521" s="1"/>
      <c r="H521" s="2">
        <f t="shared" si="8"/>
        <v>-188.18</v>
      </c>
      <c r="I521" s="16" t="str">
        <f>TEXT(Table3[[#This Row],[Date]],"mmm")</f>
        <v>Nov</v>
      </c>
    </row>
    <row r="522" spans="1:9" x14ac:dyDescent="0.3">
      <c r="A522" s="8" t="s">
        <v>277</v>
      </c>
      <c r="B522" s="1" t="s">
        <v>321</v>
      </c>
      <c r="C522" s="1" t="s">
        <v>9</v>
      </c>
      <c r="D522" s="1" t="s">
        <v>21</v>
      </c>
      <c r="E522" s="1" t="s">
        <v>324</v>
      </c>
      <c r="F522" s="1">
        <v>216.08</v>
      </c>
      <c r="G522" s="1"/>
      <c r="H522" s="2">
        <f t="shared" si="8"/>
        <v>-216.08</v>
      </c>
      <c r="I522" s="16" t="str">
        <f>TEXT(Table3[[#This Row],[Date]],"mmm")</f>
        <v>Nov</v>
      </c>
    </row>
    <row r="523" spans="1:9" x14ac:dyDescent="0.3">
      <c r="A523" s="8" t="s">
        <v>277</v>
      </c>
      <c r="B523" s="1" t="s">
        <v>320</v>
      </c>
      <c r="C523" s="1" t="s">
        <v>9</v>
      </c>
      <c r="D523" s="1" t="s">
        <v>21</v>
      </c>
      <c r="E523" s="1" t="s">
        <v>324</v>
      </c>
      <c r="F523" s="1">
        <v>111.53</v>
      </c>
      <c r="G523" s="1"/>
      <c r="H523" s="2">
        <f t="shared" si="8"/>
        <v>-111.53</v>
      </c>
      <c r="I523" s="16" t="str">
        <f>TEXT(Table3[[#This Row],[Date]],"mmm")</f>
        <v>Nov</v>
      </c>
    </row>
    <row r="524" spans="1:9" x14ac:dyDescent="0.3">
      <c r="A524" s="8" t="s">
        <v>278</v>
      </c>
      <c r="B524" s="1" t="s">
        <v>321</v>
      </c>
      <c r="C524" s="1" t="s">
        <v>8</v>
      </c>
      <c r="D524" s="1" t="s">
        <v>16</v>
      </c>
      <c r="E524" s="1" t="s">
        <v>324</v>
      </c>
      <c r="F524" s="1">
        <v>178.37</v>
      </c>
      <c r="G524" s="1"/>
      <c r="H524" s="2">
        <f t="shared" si="8"/>
        <v>-178.37</v>
      </c>
      <c r="I524" s="16" t="str">
        <f>TEXT(Table3[[#This Row],[Date]],"mmm")</f>
        <v>Nov</v>
      </c>
    </row>
    <row r="525" spans="1:9" x14ac:dyDescent="0.3">
      <c r="A525" s="8" t="s">
        <v>278</v>
      </c>
      <c r="B525" s="1" t="s">
        <v>321</v>
      </c>
      <c r="C525" s="1" t="s">
        <v>10</v>
      </c>
      <c r="D525" s="1" t="s">
        <v>22</v>
      </c>
      <c r="E525" s="1" t="s">
        <v>324</v>
      </c>
      <c r="F525" s="1">
        <v>221.09</v>
      </c>
      <c r="G525" s="1"/>
      <c r="H525" s="2">
        <f t="shared" si="8"/>
        <v>-221.09</v>
      </c>
      <c r="I525" s="16" t="str">
        <f>TEXT(Table3[[#This Row],[Date]],"mmm")</f>
        <v>Nov</v>
      </c>
    </row>
    <row r="526" spans="1:9" x14ac:dyDescent="0.3">
      <c r="A526" s="8" t="s">
        <v>278</v>
      </c>
      <c r="B526" s="1" t="s">
        <v>320</v>
      </c>
      <c r="C526" s="1" t="s">
        <v>10</v>
      </c>
      <c r="D526" s="1" t="s">
        <v>22</v>
      </c>
      <c r="E526" s="1" t="s">
        <v>324</v>
      </c>
      <c r="F526" s="1">
        <v>66.61</v>
      </c>
      <c r="G526" s="1"/>
      <c r="H526" s="2">
        <f t="shared" si="8"/>
        <v>-66.61</v>
      </c>
      <c r="I526" s="16" t="str">
        <f>TEXT(Table3[[#This Row],[Date]],"mmm")</f>
        <v>Nov</v>
      </c>
    </row>
    <row r="527" spans="1:9" x14ac:dyDescent="0.3">
      <c r="A527" s="8" t="s">
        <v>279</v>
      </c>
      <c r="B527" s="1" t="s">
        <v>321</v>
      </c>
      <c r="C527" s="1" t="s">
        <v>7</v>
      </c>
      <c r="D527" s="1" t="s">
        <v>15</v>
      </c>
      <c r="E527" s="1" t="s">
        <v>324</v>
      </c>
      <c r="F527" s="1">
        <v>168.06</v>
      </c>
      <c r="G527" s="1"/>
      <c r="H527" s="2">
        <f t="shared" si="8"/>
        <v>-168.06</v>
      </c>
      <c r="I527" s="16" t="str">
        <f>TEXT(Table3[[#This Row],[Date]],"mmm")</f>
        <v>Nov</v>
      </c>
    </row>
    <row r="528" spans="1:9" x14ac:dyDescent="0.3">
      <c r="A528" s="8" t="s">
        <v>280</v>
      </c>
      <c r="B528" s="1" t="s">
        <v>321</v>
      </c>
      <c r="C528" s="1" t="s">
        <v>6</v>
      </c>
      <c r="D528" s="1" t="s">
        <v>18</v>
      </c>
      <c r="E528" s="1" t="s">
        <v>324</v>
      </c>
      <c r="F528" s="1">
        <v>216.03</v>
      </c>
      <c r="G528" s="1"/>
      <c r="H528" s="2">
        <f t="shared" si="8"/>
        <v>-216.03</v>
      </c>
      <c r="I528" s="16" t="str">
        <f>TEXT(Table3[[#This Row],[Date]],"mmm")</f>
        <v>Nov</v>
      </c>
    </row>
    <row r="529" spans="1:9" x14ac:dyDescent="0.3">
      <c r="A529" s="8" t="s">
        <v>281</v>
      </c>
      <c r="B529" s="1" t="s">
        <v>320</v>
      </c>
      <c r="C529" s="1" t="s">
        <v>11</v>
      </c>
      <c r="D529" s="1" t="s">
        <v>27</v>
      </c>
      <c r="E529" s="1" t="s">
        <v>324</v>
      </c>
      <c r="F529" s="1">
        <v>92.46</v>
      </c>
      <c r="G529" s="1"/>
      <c r="H529" s="2">
        <f t="shared" si="8"/>
        <v>-92.46</v>
      </c>
      <c r="I529" s="16" t="str">
        <f>TEXT(Table3[[#This Row],[Date]],"mmm")</f>
        <v>Nov</v>
      </c>
    </row>
    <row r="530" spans="1:9" x14ac:dyDescent="0.3">
      <c r="A530" s="8" t="s">
        <v>282</v>
      </c>
      <c r="B530" s="1" t="s">
        <v>321</v>
      </c>
      <c r="C530" s="1" t="s">
        <v>6</v>
      </c>
      <c r="D530" s="1" t="s">
        <v>18</v>
      </c>
      <c r="E530" s="1" t="s">
        <v>324</v>
      </c>
      <c r="F530" s="1">
        <v>10.8</v>
      </c>
      <c r="G530" s="1"/>
      <c r="H530" s="2">
        <f t="shared" si="8"/>
        <v>-10.8</v>
      </c>
      <c r="I530" s="16" t="str">
        <f>TEXT(Table3[[#This Row],[Date]],"mmm")</f>
        <v>Nov</v>
      </c>
    </row>
    <row r="531" spans="1:9" x14ac:dyDescent="0.3">
      <c r="A531" s="8" t="s">
        <v>282</v>
      </c>
      <c r="B531" s="1" t="s">
        <v>320</v>
      </c>
      <c r="C531" s="1" t="s">
        <v>8</v>
      </c>
      <c r="D531" s="1" t="s">
        <v>16</v>
      </c>
      <c r="E531" s="1" t="s">
        <v>324</v>
      </c>
      <c r="F531" s="1">
        <v>140.01</v>
      </c>
      <c r="G531" s="1"/>
      <c r="H531" s="2">
        <f t="shared" si="8"/>
        <v>-140.01</v>
      </c>
      <c r="I531" s="16" t="str">
        <f>TEXT(Table3[[#This Row],[Date]],"mmm")</f>
        <v>Nov</v>
      </c>
    </row>
    <row r="532" spans="1:9" x14ac:dyDescent="0.3">
      <c r="A532" s="8" t="s">
        <v>282</v>
      </c>
      <c r="B532" s="1" t="s">
        <v>320</v>
      </c>
      <c r="C532" s="1" t="s">
        <v>7</v>
      </c>
      <c r="D532" s="1" t="s">
        <v>23</v>
      </c>
      <c r="E532" s="1" t="s">
        <v>324</v>
      </c>
      <c r="F532" s="1">
        <v>143.87</v>
      </c>
      <c r="G532" s="1"/>
      <c r="H532" s="2">
        <f t="shared" si="8"/>
        <v>-143.87</v>
      </c>
      <c r="I532" s="16" t="str">
        <f>TEXT(Table3[[#This Row],[Date]],"mmm")</f>
        <v>Nov</v>
      </c>
    </row>
    <row r="533" spans="1:9" x14ac:dyDescent="0.3">
      <c r="A533" s="8" t="s">
        <v>283</v>
      </c>
      <c r="B533" s="1" t="s">
        <v>321</v>
      </c>
      <c r="C533" s="1" t="s">
        <v>7</v>
      </c>
      <c r="D533" s="1" t="s">
        <v>15</v>
      </c>
      <c r="E533" s="1" t="s">
        <v>324</v>
      </c>
      <c r="F533" s="1">
        <v>8.49</v>
      </c>
      <c r="G533" s="1"/>
      <c r="H533" s="2">
        <f t="shared" si="8"/>
        <v>-8.49</v>
      </c>
      <c r="I533" s="16" t="str">
        <f>TEXT(Table3[[#This Row],[Date]],"mmm")</f>
        <v>Nov</v>
      </c>
    </row>
    <row r="534" spans="1:9" x14ac:dyDescent="0.3">
      <c r="A534" s="8" t="s">
        <v>283</v>
      </c>
      <c r="B534" s="1" t="s">
        <v>321</v>
      </c>
      <c r="C534" s="1" t="s">
        <v>11</v>
      </c>
      <c r="D534" s="1" t="s">
        <v>20</v>
      </c>
      <c r="E534" s="1" t="s">
        <v>324</v>
      </c>
      <c r="F534" s="1">
        <v>182.28</v>
      </c>
      <c r="G534" s="1"/>
      <c r="H534" s="2">
        <f t="shared" si="8"/>
        <v>-182.28</v>
      </c>
      <c r="I534" s="16" t="str">
        <f>TEXT(Table3[[#This Row],[Date]],"mmm")</f>
        <v>Nov</v>
      </c>
    </row>
    <row r="535" spans="1:9" x14ac:dyDescent="0.3">
      <c r="A535" s="8" t="s">
        <v>284</v>
      </c>
      <c r="B535" s="1" t="s">
        <v>321</v>
      </c>
      <c r="C535" s="1" t="s">
        <v>7</v>
      </c>
      <c r="D535" s="1" t="s">
        <v>23</v>
      </c>
      <c r="E535" s="1" t="s">
        <v>324</v>
      </c>
      <c r="F535" s="1">
        <v>34.340000000000003</v>
      </c>
      <c r="G535" s="1"/>
      <c r="H535" s="2">
        <f t="shared" si="8"/>
        <v>-34.340000000000003</v>
      </c>
      <c r="I535" s="16" t="str">
        <f>TEXT(Table3[[#This Row],[Date]],"mmm")</f>
        <v>Nov</v>
      </c>
    </row>
    <row r="536" spans="1:9" x14ac:dyDescent="0.3">
      <c r="A536" s="8" t="s">
        <v>284</v>
      </c>
      <c r="B536" s="1" t="s">
        <v>321</v>
      </c>
      <c r="C536" s="1" t="s">
        <v>8</v>
      </c>
      <c r="D536" s="1" t="s">
        <v>16</v>
      </c>
      <c r="E536" s="1" t="s">
        <v>324</v>
      </c>
      <c r="F536" s="1">
        <v>144.44999999999999</v>
      </c>
      <c r="G536" s="1"/>
      <c r="H536" s="2">
        <f t="shared" si="8"/>
        <v>-144.44999999999999</v>
      </c>
      <c r="I536" s="16" t="str">
        <f>TEXT(Table3[[#This Row],[Date]],"mmm")</f>
        <v>Nov</v>
      </c>
    </row>
    <row r="537" spans="1:9" x14ac:dyDescent="0.3">
      <c r="A537" s="8" t="s">
        <v>284</v>
      </c>
      <c r="B537" s="1" t="s">
        <v>321</v>
      </c>
      <c r="C537" s="1" t="s">
        <v>8</v>
      </c>
      <c r="D537" s="1" t="s">
        <v>16</v>
      </c>
      <c r="E537" s="1" t="s">
        <v>324</v>
      </c>
      <c r="F537" s="1">
        <v>73.89</v>
      </c>
      <c r="G537" s="1"/>
      <c r="H537" s="2">
        <f t="shared" si="8"/>
        <v>-73.89</v>
      </c>
      <c r="I537" s="16" t="str">
        <f>TEXT(Table3[[#This Row],[Date]],"mmm")</f>
        <v>Nov</v>
      </c>
    </row>
    <row r="538" spans="1:9" x14ac:dyDescent="0.3">
      <c r="A538" s="8" t="s">
        <v>285</v>
      </c>
      <c r="B538" s="1" t="s">
        <v>320</v>
      </c>
      <c r="C538" s="1" t="s">
        <v>9</v>
      </c>
      <c r="D538" s="1" t="s">
        <v>21</v>
      </c>
      <c r="E538" s="1" t="s">
        <v>324</v>
      </c>
      <c r="F538" s="1">
        <v>203.39</v>
      </c>
      <c r="G538" s="1"/>
      <c r="H538" s="2">
        <f t="shared" si="8"/>
        <v>-203.39</v>
      </c>
      <c r="I538" s="16" t="str">
        <f>TEXT(Table3[[#This Row],[Date]],"mmm")</f>
        <v>Nov</v>
      </c>
    </row>
    <row r="539" spans="1:9" x14ac:dyDescent="0.3">
      <c r="A539" s="8" t="s">
        <v>285</v>
      </c>
      <c r="B539" s="1" t="s">
        <v>320</v>
      </c>
      <c r="C539" s="1" t="s">
        <v>11</v>
      </c>
      <c r="D539" s="1" t="s">
        <v>27</v>
      </c>
      <c r="E539" s="1" t="s">
        <v>324</v>
      </c>
      <c r="F539" s="1">
        <v>232.31</v>
      </c>
      <c r="G539" s="1"/>
      <c r="H539" s="2">
        <f t="shared" si="8"/>
        <v>-232.31</v>
      </c>
      <c r="I539" s="16" t="str">
        <f>TEXT(Table3[[#This Row],[Date]],"mmm")</f>
        <v>Nov</v>
      </c>
    </row>
    <row r="540" spans="1:9" x14ac:dyDescent="0.3">
      <c r="A540" s="8" t="s">
        <v>286</v>
      </c>
      <c r="B540" s="1" t="s">
        <v>321</v>
      </c>
      <c r="C540" s="1" t="s">
        <v>11</v>
      </c>
      <c r="D540" s="1" t="s">
        <v>25</v>
      </c>
      <c r="E540" s="1" t="s">
        <v>324</v>
      </c>
      <c r="F540" s="1">
        <v>12.91</v>
      </c>
      <c r="G540" s="1"/>
      <c r="H540" s="2">
        <f t="shared" si="8"/>
        <v>-12.91</v>
      </c>
      <c r="I540" s="16" t="str">
        <f>TEXT(Table3[[#This Row],[Date]],"mmm")</f>
        <v>Nov</v>
      </c>
    </row>
    <row r="541" spans="1:9" x14ac:dyDescent="0.3">
      <c r="A541" s="8" t="s">
        <v>286</v>
      </c>
      <c r="B541" s="1" t="s">
        <v>321</v>
      </c>
      <c r="C541" s="1" t="s">
        <v>11</v>
      </c>
      <c r="D541" s="1" t="s">
        <v>25</v>
      </c>
      <c r="E541" s="1" t="s">
        <v>324</v>
      </c>
      <c r="F541" s="1">
        <v>120.96</v>
      </c>
      <c r="G541" s="1"/>
      <c r="H541" s="2">
        <f t="shared" si="8"/>
        <v>-120.96</v>
      </c>
      <c r="I541" s="16" t="str">
        <f>TEXT(Table3[[#This Row],[Date]],"mmm")</f>
        <v>Nov</v>
      </c>
    </row>
    <row r="542" spans="1:9" x14ac:dyDescent="0.3">
      <c r="A542" s="8" t="s">
        <v>287</v>
      </c>
      <c r="B542" s="1" t="s">
        <v>320</v>
      </c>
      <c r="C542" s="1" t="s">
        <v>6</v>
      </c>
      <c r="D542" s="1" t="s">
        <v>14</v>
      </c>
      <c r="E542" s="1" t="s">
        <v>324</v>
      </c>
      <c r="F542" s="1">
        <v>104.08</v>
      </c>
      <c r="G542" s="1"/>
      <c r="H542" s="2">
        <f t="shared" si="8"/>
        <v>-104.08</v>
      </c>
      <c r="I542" s="16" t="str">
        <f>TEXT(Table3[[#This Row],[Date]],"mmm")</f>
        <v>Nov</v>
      </c>
    </row>
    <row r="543" spans="1:9" x14ac:dyDescent="0.3">
      <c r="A543" s="8" t="s">
        <v>288</v>
      </c>
      <c r="B543" s="1" t="s">
        <v>321</v>
      </c>
      <c r="C543" s="1" t="s">
        <v>6</v>
      </c>
      <c r="D543" s="1" t="s">
        <v>14</v>
      </c>
      <c r="E543" s="1" t="s">
        <v>324</v>
      </c>
      <c r="F543" s="1">
        <v>43.17</v>
      </c>
      <c r="G543" s="1"/>
      <c r="H543" s="2">
        <f t="shared" si="8"/>
        <v>-43.17</v>
      </c>
      <c r="I543" s="16" t="str">
        <f>TEXT(Table3[[#This Row],[Date]],"mmm")</f>
        <v>Nov</v>
      </c>
    </row>
    <row r="544" spans="1:9" x14ac:dyDescent="0.3">
      <c r="A544" s="8" t="s">
        <v>289</v>
      </c>
      <c r="B544" s="1" t="s">
        <v>320</v>
      </c>
      <c r="C544" s="1" t="s">
        <v>6</v>
      </c>
      <c r="D544" s="1" t="s">
        <v>18</v>
      </c>
      <c r="E544" s="1" t="s">
        <v>324</v>
      </c>
      <c r="F544" s="1">
        <v>92.72</v>
      </c>
      <c r="G544" s="1"/>
      <c r="H544" s="2">
        <f t="shared" si="8"/>
        <v>-92.72</v>
      </c>
      <c r="I544" s="16" t="str">
        <f>TEXT(Table3[[#This Row],[Date]],"mmm")</f>
        <v>Nov</v>
      </c>
    </row>
    <row r="545" spans="1:9" x14ac:dyDescent="0.3">
      <c r="A545" s="8" t="s">
        <v>289</v>
      </c>
      <c r="B545" s="1" t="s">
        <v>321</v>
      </c>
      <c r="C545" s="1" t="s">
        <v>8</v>
      </c>
      <c r="D545" s="1" t="s">
        <v>26</v>
      </c>
      <c r="E545" s="1" t="s">
        <v>324</v>
      </c>
      <c r="F545" s="1">
        <v>19.649999999999999</v>
      </c>
      <c r="G545" s="1"/>
      <c r="H545" s="2">
        <f t="shared" si="8"/>
        <v>-19.649999999999999</v>
      </c>
      <c r="I545" s="16" t="str">
        <f>TEXT(Table3[[#This Row],[Date]],"mmm")</f>
        <v>Nov</v>
      </c>
    </row>
    <row r="546" spans="1:9" x14ac:dyDescent="0.3">
      <c r="A546" s="8" t="s">
        <v>289</v>
      </c>
      <c r="B546" s="1" t="s">
        <v>321</v>
      </c>
      <c r="C546" s="1" t="s">
        <v>7</v>
      </c>
      <c r="D546" s="1" t="s">
        <v>23</v>
      </c>
      <c r="E546" s="1" t="s">
        <v>324</v>
      </c>
      <c r="F546" s="1">
        <v>150.47999999999999</v>
      </c>
      <c r="G546" s="1"/>
      <c r="H546" s="2">
        <f t="shared" si="8"/>
        <v>-150.47999999999999</v>
      </c>
      <c r="I546" s="16" t="str">
        <f>TEXT(Table3[[#This Row],[Date]],"mmm")</f>
        <v>Nov</v>
      </c>
    </row>
    <row r="547" spans="1:9" x14ac:dyDescent="0.3">
      <c r="A547" s="8" t="s">
        <v>290</v>
      </c>
      <c r="B547" s="1" t="s">
        <v>321</v>
      </c>
      <c r="C547" s="1" t="s">
        <v>9</v>
      </c>
      <c r="D547" s="1" t="s">
        <v>17</v>
      </c>
      <c r="E547" s="1" t="s">
        <v>324</v>
      </c>
      <c r="F547" s="1">
        <v>207.42</v>
      </c>
      <c r="G547" s="1"/>
      <c r="H547" s="2">
        <f t="shared" si="8"/>
        <v>-207.42</v>
      </c>
      <c r="I547" s="16" t="str">
        <f>TEXT(Table3[[#This Row],[Date]],"mmm")</f>
        <v>Nov</v>
      </c>
    </row>
    <row r="548" spans="1:9" x14ac:dyDescent="0.3">
      <c r="A548" s="8" t="s">
        <v>290</v>
      </c>
      <c r="B548" s="1" t="s">
        <v>321</v>
      </c>
      <c r="C548" s="1" t="s">
        <v>6</v>
      </c>
      <c r="D548" s="1" t="s">
        <v>14</v>
      </c>
      <c r="E548" s="1" t="s">
        <v>324</v>
      </c>
      <c r="F548" s="1">
        <v>60.81</v>
      </c>
      <c r="G548" s="1"/>
      <c r="H548" s="2">
        <f t="shared" si="8"/>
        <v>-60.81</v>
      </c>
      <c r="I548" s="16" t="str">
        <f>TEXT(Table3[[#This Row],[Date]],"mmm")</f>
        <v>Nov</v>
      </c>
    </row>
    <row r="549" spans="1:9" x14ac:dyDescent="0.3">
      <c r="A549" s="8" t="s">
        <v>290</v>
      </c>
      <c r="B549" s="1" t="s">
        <v>321</v>
      </c>
      <c r="C549" s="1" t="s">
        <v>7</v>
      </c>
      <c r="D549" s="1" t="s">
        <v>23</v>
      </c>
      <c r="E549" s="1" t="s">
        <v>324</v>
      </c>
      <c r="F549" s="1">
        <v>133.54</v>
      </c>
      <c r="G549" s="1"/>
      <c r="H549" s="2">
        <f t="shared" si="8"/>
        <v>-133.54</v>
      </c>
      <c r="I549" s="16" t="str">
        <f>TEXT(Table3[[#This Row],[Date]],"mmm")</f>
        <v>Nov</v>
      </c>
    </row>
    <row r="550" spans="1:9" x14ac:dyDescent="0.3">
      <c r="A550" s="8" t="s">
        <v>291</v>
      </c>
      <c r="B550" s="1" t="s">
        <v>320</v>
      </c>
      <c r="C550" s="1" t="s">
        <v>10</v>
      </c>
      <c r="D550" s="1" t="s">
        <v>19</v>
      </c>
      <c r="E550" s="1" t="s">
        <v>324</v>
      </c>
      <c r="F550" s="1">
        <v>185.4</v>
      </c>
      <c r="G550" s="1"/>
      <c r="H550" s="2">
        <f t="shared" si="8"/>
        <v>-185.4</v>
      </c>
      <c r="I550" s="16" t="str">
        <f>TEXT(Table3[[#This Row],[Date]],"mmm")</f>
        <v>Nov</v>
      </c>
    </row>
    <row r="551" spans="1:9" x14ac:dyDescent="0.3">
      <c r="A551" s="8" t="s">
        <v>291</v>
      </c>
      <c r="B551" s="1" t="s">
        <v>321</v>
      </c>
      <c r="C551" s="1" t="s">
        <v>11</v>
      </c>
      <c r="D551" s="1" t="s">
        <v>25</v>
      </c>
      <c r="E551" s="1" t="s">
        <v>324</v>
      </c>
      <c r="F551" s="1">
        <v>28.48</v>
      </c>
      <c r="G551" s="1"/>
      <c r="H551" s="2">
        <f t="shared" si="8"/>
        <v>-28.48</v>
      </c>
      <c r="I551" s="16" t="str">
        <f>TEXT(Table3[[#This Row],[Date]],"mmm")</f>
        <v>Nov</v>
      </c>
    </row>
    <row r="552" spans="1:9" x14ac:dyDescent="0.3">
      <c r="A552" s="8" t="s">
        <v>291</v>
      </c>
      <c r="B552" s="1" t="s">
        <v>321</v>
      </c>
      <c r="C552" s="1" t="s">
        <v>6</v>
      </c>
      <c r="D552" s="1" t="s">
        <v>14</v>
      </c>
      <c r="E552" s="1" t="s">
        <v>324</v>
      </c>
      <c r="F552" s="1">
        <v>212.83</v>
      </c>
      <c r="G552" s="1"/>
      <c r="H552" s="2">
        <f t="shared" si="8"/>
        <v>-212.83</v>
      </c>
      <c r="I552" s="16" t="str">
        <f>TEXT(Table3[[#This Row],[Date]],"mmm")</f>
        <v>Nov</v>
      </c>
    </row>
    <row r="553" spans="1:9" x14ac:dyDescent="0.3">
      <c r="A553" s="8" t="s">
        <v>291</v>
      </c>
      <c r="B553" s="1" t="s">
        <v>321</v>
      </c>
      <c r="C553" s="1" t="s">
        <v>7</v>
      </c>
      <c r="D553" s="1" t="s">
        <v>23</v>
      </c>
      <c r="E553" s="1" t="s">
        <v>324</v>
      </c>
      <c r="F553" s="1">
        <v>158.96</v>
      </c>
      <c r="G553" s="1"/>
      <c r="H553" s="2">
        <f t="shared" si="8"/>
        <v>-158.96</v>
      </c>
      <c r="I553" s="16" t="str">
        <f>TEXT(Table3[[#This Row],[Date]],"mmm")</f>
        <v>Nov</v>
      </c>
    </row>
    <row r="554" spans="1:9" x14ac:dyDescent="0.3">
      <c r="A554" s="8" t="s">
        <v>291</v>
      </c>
      <c r="B554" s="1" t="s">
        <v>320</v>
      </c>
      <c r="C554" s="1" t="s">
        <v>9</v>
      </c>
      <c r="D554" s="1" t="s">
        <v>21</v>
      </c>
      <c r="E554" s="1" t="s">
        <v>324</v>
      </c>
      <c r="F554" s="1">
        <v>17.45</v>
      </c>
      <c r="G554" s="1"/>
      <c r="H554" s="2">
        <f t="shared" si="8"/>
        <v>-17.45</v>
      </c>
      <c r="I554" s="16" t="str">
        <f>TEXT(Table3[[#This Row],[Date]],"mmm")</f>
        <v>Nov</v>
      </c>
    </row>
    <row r="555" spans="1:9" x14ac:dyDescent="0.3">
      <c r="A555" s="8" t="s">
        <v>291</v>
      </c>
      <c r="B555" s="1" t="s">
        <v>321</v>
      </c>
      <c r="C555" s="1" t="s">
        <v>10</v>
      </c>
      <c r="D555" s="1" t="s">
        <v>22</v>
      </c>
      <c r="E555" s="1" t="s">
        <v>324</v>
      </c>
      <c r="F555" s="1">
        <v>177.83</v>
      </c>
      <c r="G555" s="1"/>
      <c r="H555" s="2">
        <f t="shared" si="8"/>
        <v>-177.83</v>
      </c>
      <c r="I555" s="16" t="str">
        <f>TEXT(Table3[[#This Row],[Date]],"mmm")</f>
        <v>Nov</v>
      </c>
    </row>
    <row r="556" spans="1:9" x14ac:dyDescent="0.3">
      <c r="A556" s="8" t="s">
        <v>292</v>
      </c>
      <c r="B556" s="1" t="s">
        <v>320</v>
      </c>
      <c r="C556" s="1" t="s">
        <v>11</v>
      </c>
      <c r="D556" s="1" t="s">
        <v>20</v>
      </c>
      <c r="E556" s="1" t="s">
        <v>324</v>
      </c>
      <c r="F556" s="1">
        <v>41.45</v>
      </c>
      <c r="G556" s="1"/>
      <c r="H556" s="2">
        <f t="shared" si="8"/>
        <v>-41.45</v>
      </c>
      <c r="I556" s="16" t="str">
        <f>TEXT(Table3[[#This Row],[Date]],"mmm")</f>
        <v>Nov</v>
      </c>
    </row>
    <row r="557" spans="1:9" x14ac:dyDescent="0.3">
      <c r="A557" s="8" t="s">
        <v>293</v>
      </c>
      <c r="B557" s="1" t="s">
        <v>322</v>
      </c>
      <c r="C557" s="1" t="s">
        <v>12</v>
      </c>
      <c r="D557" s="1" t="s">
        <v>24</v>
      </c>
      <c r="E557" s="1" t="s">
        <v>324</v>
      </c>
      <c r="F557" s="1">
        <v>50.77</v>
      </c>
      <c r="G557" s="1"/>
      <c r="H557" s="2">
        <f t="shared" si="8"/>
        <v>-50.77</v>
      </c>
      <c r="I557" s="16" t="str">
        <f>TEXT(Table3[[#This Row],[Date]],"mmm")</f>
        <v>Nov</v>
      </c>
    </row>
    <row r="558" spans="1:9" x14ac:dyDescent="0.3">
      <c r="A558" s="8" t="s">
        <v>293</v>
      </c>
      <c r="B558" s="1" t="s">
        <v>320</v>
      </c>
      <c r="C558" s="1" t="s">
        <v>6</v>
      </c>
      <c r="D558" s="1" t="s">
        <v>18</v>
      </c>
      <c r="E558" s="1" t="s">
        <v>324</v>
      </c>
      <c r="F558" s="1">
        <v>66.2</v>
      </c>
      <c r="G558" s="1"/>
      <c r="H558" s="2">
        <f t="shared" si="8"/>
        <v>-66.2</v>
      </c>
      <c r="I558" s="16" t="str">
        <f>TEXT(Table3[[#This Row],[Date]],"mmm")</f>
        <v>Nov</v>
      </c>
    </row>
    <row r="559" spans="1:9" x14ac:dyDescent="0.3">
      <c r="A559" s="8" t="s">
        <v>294</v>
      </c>
      <c r="B559" s="1" t="s">
        <v>321</v>
      </c>
      <c r="C559" s="1" t="s">
        <v>8</v>
      </c>
      <c r="D559" s="1" t="s">
        <v>16</v>
      </c>
      <c r="E559" s="1" t="s">
        <v>324</v>
      </c>
      <c r="F559" s="1">
        <v>102.14</v>
      </c>
      <c r="G559" s="1"/>
      <c r="H559" s="2">
        <f t="shared" si="8"/>
        <v>-102.14</v>
      </c>
      <c r="I559" s="16" t="str">
        <f>TEXT(Table3[[#This Row],[Date]],"mmm")</f>
        <v>Nov</v>
      </c>
    </row>
    <row r="560" spans="1:9" x14ac:dyDescent="0.3">
      <c r="A560" s="8" t="s">
        <v>294</v>
      </c>
      <c r="B560" s="1" t="s">
        <v>320</v>
      </c>
      <c r="C560" s="1" t="s">
        <v>8</v>
      </c>
      <c r="D560" s="1" t="s">
        <v>26</v>
      </c>
      <c r="E560" s="1" t="s">
        <v>324</v>
      </c>
      <c r="F560" s="1">
        <v>83.04</v>
      </c>
      <c r="G560" s="1"/>
      <c r="H560" s="2">
        <f t="shared" si="8"/>
        <v>-83.04</v>
      </c>
      <c r="I560" s="16" t="str">
        <f>TEXT(Table3[[#This Row],[Date]],"mmm")</f>
        <v>Nov</v>
      </c>
    </row>
    <row r="561" spans="1:9" x14ac:dyDescent="0.3">
      <c r="A561" s="8" t="s">
        <v>294</v>
      </c>
      <c r="B561" s="1" t="s">
        <v>320</v>
      </c>
      <c r="C561" s="1" t="s">
        <v>10</v>
      </c>
      <c r="D561" s="1" t="s">
        <v>22</v>
      </c>
      <c r="E561" s="1" t="s">
        <v>324</v>
      </c>
      <c r="F561" s="1">
        <v>142.19</v>
      </c>
      <c r="G561" s="1"/>
      <c r="H561" s="2">
        <f t="shared" si="8"/>
        <v>-142.19</v>
      </c>
      <c r="I561" s="16" t="str">
        <f>TEXT(Table3[[#This Row],[Date]],"mmm")</f>
        <v>Nov</v>
      </c>
    </row>
    <row r="562" spans="1:9" x14ac:dyDescent="0.3">
      <c r="A562" s="8" t="s">
        <v>294</v>
      </c>
      <c r="B562" s="1" t="s">
        <v>320</v>
      </c>
      <c r="C562" s="1" t="s">
        <v>13</v>
      </c>
      <c r="D562" s="1" t="s">
        <v>30</v>
      </c>
      <c r="E562" s="1" t="s">
        <v>13</v>
      </c>
      <c r="F562" s="1"/>
      <c r="G562" s="1">
        <v>7461</v>
      </c>
      <c r="H562" s="2">
        <v>7461</v>
      </c>
      <c r="I562" s="16" t="str">
        <f>TEXT(Table3[[#This Row],[Date]],"mmm")</f>
        <v>Nov</v>
      </c>
    </row>
    <row r="563" spans="1:9" x14ac:dyDescent="0.3">
      <c r="A563" s="8" t="s">
        <v>295</v>
      </c>
      <c r="B563" s="1" t="s">
        <v>320</v>
      </c>
      <c r="C563" s="1" t="s">
        <v>12</v>
      </c>
      <c r="D563" s="1" t="s">
        <v>29</v>
      </c>
      <c r="E563" s="1" t="s">
        <v>324</v>
      </c>
      <c r="F563" s="1">
        <v>142.74</v>
      </c>
      <c r="G563" s="1"/>
      <c r="H563" s="2">
        <f t="shared" si="8"/>
        <v>-142.74</v>
      </c>
      <c r="I563" s="16" t="str">
        <f>TEXT(Table3[[#This Row],[Date]],"mmm")</f>
        <v>Dec</v>
      </c>
    </row>
    <row r="564" spans="1:9" x14ac:dyDescent="0.3">
      <c r="A564" s="8" t="s">
        <v>295</v>
      </c>
      <c r="B564" s="1" t="s">
        <v>321</v>
      </c>
      <c r="C564" s="1" t="s">
        <v>8</v>
      </c>
      <c r="D564" s="1" t="s">
        <v>28</v>
      </c>
      <c r="E564" s="1" t="s">
        <v>324</v>
      </c>
      <c r="F564" s="1">
        <v>106.94</v>
      </c>
      <c r="G564" s="1"/>
      <c r="H564" s="2">
        <f t="shared" si="8"/>
        <v>-106.94</v>
      </c>
      <c r="I564" s="16" t="str">
        <f>TEXT(Table3[[#This Row],[Date]],"mmm")</f>
        <v>Dec</v>
      </c>
    </row>
    <row r="565" spans="1:9" x14ac:dyDescent="0.3">
      <c r="A565" s="8" t="s">
        <v>296</v>
      </c>
      <c r="B565" s="1" t="s">
        <v>320</v>
      </c>
      <c r="C565" s="1" t="s">
        <v>8</v>
      </c>
      <c r="D565" s="1" t="s">
        <v>28</v>
      </c>
      <c r="E565" s="1" t="s">
        <v>324</v>
      </c>
      <c r="F565" s="1">
        <v>71.41</v>
      </c>
      <c r="G565" s="1"/>
      <c r="H565" s="2">
        <f t="shared" si="8"/>
        <v>-71.41</v>
      </c>
      <c r="I565" s="16" t="str">
        <f>TEXT(Table3[[#This Row],[Date]],"mmm")</f>
        <v>Dec</v>
      </c>
    </row>
    <row r="566" spans="1:9" x14ac:dyDescent="0.3">
      <c r="A566" s="8" t="s">
        <v>296</v>
      </c>
      <c r="B566" s="1" t="s">
        <v>321</v>
      </c>
      <c r="C566" s="1" t="s">
        <v>6</v>
      </c>
      <c r="D566" s="1" t="s">
        <v>18</v>
      </c>
      <c r="E566" s="1" t="s">
        <v>324</v>
      </c>
      <c r="F566" s="1">
        <v>222.8</v>
      </c>
      <c r="G566" s="1"/>
      <c r="H566" s="2">
        <f t="shared" si="8"/>
        <v>-222.8</v>
      </c>
      <c r="I566" s="16" t="str">
        <f>TEXT(Table3[[#This Row],[Date]],"mmm")</f>
        <v>Dec</v>
      </c>
    </row>
    <row r="567" spans="1:9" x14ac:dyDescent="0.3">
      <c r="A567" s="8" t="s">
        <v>296</v>
      </c>
      <c r="B567" s="1" t="s">
        <v>321</v>
      </c>
      <c r="C567" s="1" t="s">
        <v>11</v>
      </c>
      <c r="D567" s="1" t="s">
        <v>20</v>
      </c>
      <c r="E567" s="1" t="s">
        <v>324</v>
      </c>
      <c r="F567" s="1">
        <v>217.55</v>
      </c>
      <c r="G567" s="1"/>
      <c r="H567" s="2">
        <f t="shared" si="8"/>
        <v>-217.55</v>
      </c>
      <c r="I567" s="16" t="str">
        <f>TEXT(Table3[[#This Row],[Date]],"mmm")</f>
        <v>Dec</v>
      </c>
    </row>
    <row r="568" spans="1:9" x14ac:dyDescent="0.3">
      <c r="A568" s="8" t="s">
        <v>297</v>
      </c>
      <c r="B568" s="1" t="s">
        <v>320</v>
      </c>
      <c r="C568" s="1" t="s">
        <v>12</v>
      </c>
      <c r="D568" s="1" t="s">
        <v>24</v>
      </c>
      <c r="E568" s="1" t="s">
        <v>324</v>
      </c>
      <c r="F568" s="1">
        <v>102.76</v>
      </c>
      <c r="G568" s="1"/>
      <c r="H568" s="2">
        <f t="shared" si="8"/>
        <v>-102.76</v>
      </c>
      <c r="I568" s="16" t="str">
        <f>TEXT(Table3[[#This Row],[Date]],"mmm")</f>
        <v>Dec</v>
      </c>
    </row>
    <row r="569" spans="1:9" x14ac:dyDescent="0.3">
      <c r="A569" s="8" t="s">
        <v>297</v>
      </c>
      <c r="B569" s="1" t="s">
        <v>321</v>
      </c>
      <c r="C569" s="1" t="s">
        <v>6</v>
      </c>
      <c r="D569" s="1" t="s">
        <v>14</v>
      </c>
      <c r="E569" s="1" t="s">
        <v>324</v>
      </c>
      <c r="F569" s="1">
        <v>74.44</v>
      </c>
      <c r="G569" s="1"/>
      <c r="H569" s="2">
        <f t="shared" si="8"/>
        <v>-74.44</v>
      </c>
      <c r="I569" s="16" t="str">
        <f>TEXT(Table3[[#This Row],[Date]],"mmm")</f>
        <v>Dec</v>
      </c>
    </row>
    <row r="570" spans="1:9" x14ac:dyDescent="0.3">
      <c r="A570" s="8" t="s">
        <v>297</v>
      </c>
      <c r="B570" s="1" t="s">
        <v>320</v>
      </c>
      <c r="C570" s="1" t="s">
        <v>8</v>
      </c>
      <c r="D570" s="1" t="s">
        <v>28</v>
      </c>
      <c r="E570" s="1" t="s">
        <v>324</v>
      </c>
      <c r="F570" s="1">
        <v>119.02</v>
      </c>
      <c r="G570" s="1"/>
      <c r="H570" s="2">
        <f t="shared" si="8"/>
        <v>-119.02</v>
      </c>
      <c r="I570" s="16" t="str">
        <f>TEXT(Table3[[#This Row],[Date]],"mmm")</f>
        <v>Dec</v>
      </c>
    </row>
    <row r="571" spans="1:9" x14ac:dyDescent="0.3">
      <c r="A571" s="8" t="s">
        <v>297</v>
      </c>
      <c r="B571" s="1" t="s">
        <v>320</v>
      </c>
      <c r="C571" s="1" t="s">
        <v>11</v>
      </c>
      <c r="D571" s="1" t="s">
        <v>27</v>
      </c>
      <c r="E571" s="1" t="s">
        <v>324</v>
      </c>
      <c r="F571" s="1">
        <v>56.52</v>
      </c>
      <c r="G571" s="1"/>
      <c r="H571" s="2">
        <f t="shared" si="8"/>
        <v>-56.52</v>
      </c>
      <c r="I571" s="16" t="str">
        <f>TEXT(Table3[[#This Row],[Date]],"mmm")</f>
        <v>Dec</v>
      </c>
    </row>
    <row r="572" spans="1:9" x14ac:dyDescent="0.3">
      <c r="A572" s="8" t="s">
        <v>298</v>
      </c>
      <c r="B572" s="1" t="s">
        <v>320</v>
      </c>
      <c r="C572" s="1" t="s">
        <v>10</v>
      </c>
      <c r="D572" s="1" t="s">
        <v>19</v>
      </c>
      <c r="E572" s="1" t="s">
        <v>324</v>
      </c>
      <c r="F572" s="1">
        <v>174.35</v>
      </c>
      <c r="G572" s="1"/>
      <c r="H572" s="2">
        <f t="shared" si="8"/>
        <v>-174.35</v>
      </c>
      <c r="I572" s="16" t="str">
        <f>TEXT(Table3[[#This Row],[Date]],"mmm")</f>
        <v>Dec</v>
      </c>
    </row>
    <row r="573" spans="1:9" x14ac:dyDescent="0.3">
      <c r="A573" s="8" t="s">
        <v>298</v>
      </c>
      <c r="B573" s="1" t="s">
        <v>320</v>
      </c>
      <c r="C573" s="1" t="s">
        <v>8</v>
      </c>
      <c r="D573" s="1" t="s">
        <v>16</v>
      </c>
      <c r="E573" s="1" t="s">
        <v>324</v>
      </c>
      <c r="F573" s="1">
        <v>28.63</v>
      </c>
      <c r="G573" s="1"/>
      <c r="H573" s="2">
        <f t="shared" si="8"/>
        <v>-28.63</v>
      </c>
      <c r="I573" s="16" t="str">
        <f>TEXT(Table3[[#This Row],[Date]],"mmm")</f>
        <v>Dec</v>
      </c>
    </row>
    <row r="574" spans="1:9" x14ac:dyDescent="0.3">
      <c r="A574" s="8" t="s">
        <v>299</v>
      </c>
      <c r="B574" s="1" t="s">
        <v>320</v>
      </c>
      <c r="C574" s="1" t="s">
        <v>10</v>
      </c>
      <c r="D574" s="1" t="s">
        <v>22</v>
      </c>
      <c r="E574" s="1" t="s">
        <v>324</v>
      </c>
      <c r="F574" s="1">
        <v>153.97</v>
      </c>
      <c r="G574" s="1"/>
      <c r="H574" s="2">
        <f t="shared" si="8"/>
        <v>-153.97</v>
      </c>
      <c r="I574" s="16" t="str">
        <f>TEXT(Table3[[#This Row],[Date]],"mmm")</f>
        <v>Dec</v>
      </c>
    </row>
    <row r="575" spans="1:9" x14ac:dyDescent="0.3">
      <c r="A575" s="8" t="s">
        <v>300</v>
      </c>
      <c r="B575" s="1" t="s">
        <v>321</v>
      </c>
      <c r="C575" s="1" t="s">
        <v>11</v>
      </c>
      <c r="D575" s="1" t="s">
        <v>20</v>
      </c>
      <c r="E575" s="1" t="s">
        <v>324</v>
      </c>
      <c r="F575" s="1">
        <v>175.92</v>
      </c>
      <c r="G575" s="1"/>
      <c r="H575" s="2">
        <f t="shared" si="8"/>
        <v>-175.92</v>
      </c>
      <c r="I575" s="16" t="str">
        <f>TEXT(Table3[[#This Row],[Date]],"mmm")</f>
        <v>Dec</v>
      </c>
    </row>
    <row r="576" spans="1:9" x14ac:dyDescent="0.3">
      <c r="A576" s="8" t="s">
        <v>301</v>
      </c>
      <c r="B576" s="1" t="s">
        <v>320</v>
      </c>
      <c r="C576" s="1" t="s">
        <v>6</v>
      </c>
      <c r="D576" s="1" t="s">
        <v>14</v>
      </c>
      <c r="E576" s="1" t="s">
        <v>324</v>
      </c>
      <c r="F576" s="1">
        <v>107.47</v>
      </c>
      <c r="G576" s="1"/>
      <c r="H576" s="2">
        <f t="shared" si="8"/>
        <v>-107.47</v>
      </c>
      <c r="I576" s="16" t="str">
        <f>TEXT(Table3[[#This Row],[Date]],"mmm")</f>
        <v>Dec</v>
      </c>
    </row>
    <row r="577" spans="1:9" x14ac:dyDescent="0.3">
      <c r="A577" s="8" t="s">
        <v>301</v>
      </c>
      <c r="B577" s="1" t="s">
        <v>321</v>
      </c>
      <c r="C577" s="1" t="s">
        <v>7</v>
      </c>
      <c r="D577" s="1" t="s">
        <v>15</v>
      </c>
      <c r="E577" s="1" t="s">
        <v>324</v>
      </c>
      <c r="F577" s="1">
        <v>57.76</v>
      </c>
      <c r="G577" s="1"/>
      <c r="H577" s="2">
        <f t="shared" si="8"/>
        <v>-57.76</v>
      </c>
      <c r="I577" s="16" t="str">
        <f>TEXT(Table3[[#This Row],[Date]],"mmm")</f>
        <v>Dec</v>
      </c>
    </row>
    <row r="578" spans="1:9" x14ac:dyDescent="0.3">
      <c r="A578" s="8" t="s">
        <v>302</v>
      </c>
      <c r="B578" s="1" t="s">
        <v>321</v>
      </c>
      <c r="C578" s="1" t="s">
        <v>6</v>
      </c>
      <c r="D578" s="1" t="s">
        <v>14</v>
      </c>
      <c r="E578" s="1" t="s">
        <v>324</v>
      </c>
      <c r="F578" s="1">
        <v>21.36</v>
      </c>
      <c r="G578" s="1"/>
      <c r="H578" s="2">
        <f t="shared" si="8"/>
        <v>-21.36</v>
      </c>
      <c r="I578" s="16" t="str">
        <f>TEXT(Table3[[#This Row],[Date]],"mmm")</f>
        <v>Dec</v>
      </c>
    </row>
    <row r="579" spans="1:9" x14ac:dyDescent="0.3">
      <c r="A579" s="8" t="s">
        <v>302</v>
      </c>
      <c r="B579" s="1" t="s">
        <v>321</v>
      </c>
      <c r="C579" s="1" t="s">
        <v>12</v>
      </c>
      <c r="D579" s="1" t="s">
        <v>29</v>
      </c>
      <c r="E579" s="1" t="s">
        <v>324</v>
      </c>
      <c r="F579" s="1">
        <v>136.05000000000001</v>
      </c>
      <c r="G579" s="1"/>
      <c r="H579" s="2">
        <f t="shared" ref="H579:H612" si="9">F579*-1</f>
        <v>-136.05000000000001</v>
      </c>
      <c r="I579" s="16" t="str">
        <f>TEXT(Table3[[#This Row],[Date]],"mmm")</f>
        <v>Dec</v>
      </c>
    </row>
    <row r="580" spans="1:9" x14ac:dyDescent="0.3">
      <c r="A580" s="8" t="s">
        <v>303</v>
      </c>
      <c r="B580" s="1" t="s">
        <v>320</v>
      </c>
      <c r="C580" s="1" t="s">
        <v>9</v>
      </c>
      <c r="D580" s="1" t="s">
        <v>17</v>
      </c>
      <c r="E580" s="1" t="s">
        <v>324</v>
      </c>
      <c r="F580" s="1">
        <v>60.67</v>
      </c>
      <c r="G580" s="1"/>
      <c r="H580" s="2">
        <f t="shared" si="9"/>
        <v>-60.67</v>
      </c>
      <c r="I580" s="16" t="str">
        <f>TEXT(Table3[[#This Row],[Date]],"mmm")</f>
        <v>Dec</v>
      </c>
    </row>
    <row r="581" spans="1:9" x14ac:dyDescent="0.3">
      <c r="A581" s="8" t="s">
        <v>304</v>
      </c>
      <c r="B581" s="1" t="s">
        <v>320</v>
      </c>
      <c r="C581" s="1" t="s">
        <v>8</v>
      </c>
      <c r="D581" s="1" t="s">
        <v>26</v>
      </c>
      <c r="E581" s="1" t="s">
        <v>324</v>
      </c>
      <c r="F581" s="1">
        <v>170.75</v>
      </c>
      <c r="G581" s="1"/>
      <c r="H581" s="2">
        <f t="shared" si="9"/>
        <v>-170.75</v>
      </c>
      <c r="I581" s="16" t="str">
        <f>TEXT(Table3[[#This Row],[Date]],"mmm")</f>
        <v>Dec</v>
      </c>
    </row>
    <row r="582" spans="1:9" x14ac:dyDescent="0.3">
      <c r="A582" s="8" t="s">
        <v>304</v>
      </c>
      <c r="B582" s="1" t="s">
        <v>321</v>
      </c>
      <c r="C582" s="1" t="s">
        <v>9</v>
      </c>
      <c r="D582" s="1" t="s">
        <v>21</v>
      </c>
      <c r="E582" s="1" t="s">
        <v>324</v>
      </c>
      <c r="F582" s="1">
        <v>89.26</v>
      </c>
      <c r="G582" s="1"/>
      <c r="H582" s="2">
        <f t="shared" si="9"/>
        <v>-89.26</v>
      </c>
      <c r="I582" s="16" t="str">
        <f>TEXT(Table3[[#This Row],[Date]],"mmm")</f>
        <v>Dec</v>
      </c>
    </row>
    <row r="583" spans="1:9" x14ac:dyDescent="0.3">
      <c r="A583" s="8" t="s">
        <v>304</v>
      </c>
      <c r="B583" s="1" t="s">
        <v>321</v>
      </c>
      <c r="C583" s="1" t="s">
        <v>7</v>
      </c>
      <c r="D583" s="1" t="s">
        <v>23</v>
      </c>
      <c r="E583" s="1" t="s">
        <v>324</v>
      </c>
      <c r="F583" s="1">
        <v>207.97</v>
      </c>
      <c r="G583" s="1"/>
      <c r="H583" s="2">
        <f t="shared" si="9"/>
        <v>-207.97</v>
      </c>
      <c r="I583" s="16" t="str">
        <f>TEXT(Table3[[#This Row],[Date]],"mmm")</f>
        <v>Dec</v>
      </c>
    </row>
    <row r="584" spans="1:9" x14ac:dyDescent="0.3">
      <c r="A584" s="8" t="s">
        <v>305</v>
      </c>
      <c r="B584" s="1" t="s">
        <v>321</v>
      </c>
      <c r="C584" s="1" t="s">
        <v>10</v>
      </c>
      <c r="D584" s="1" t="s">
        <v>19</v>
      </c>
      <c r="E584" s="1" t="s">
        <v>324</v>
      </c>
      <c r="F584" s="1">
        <v>70.12</v>
      </c>
      <c r="G584" s="1"/>
      <c r="H584" s="2">
        <f t="shared" si="9"/>
        <v>-70.12</v>
      </c>
      <c r="I584" s="16" t="str">
        <f>TEXT(Table3[[#This Row],[Date]],"mmm")</f>
        <v>Dec</v>
      </c>
    </row>
    <row r="585" spans="1:9" x14ac:dyDescent="0.3">
      <c r="A585" s="8" t="s">
        <v>306</v>
      </c>
      <c r="B585" s="1" t="s">
        <v>320</v>
      </c>
      <c r="C585" s="1" t="s">
        <v>7</v>
      </c>
      <c r="D585" s="1" t="s">
        <v>15</v>
      </c>
      <c r="E585" s="1" t="s">
        <v>324</v>
      </c>
      <c r="F585" s="1">
        <v>123.87</v>
      </c>
      <c r="G585" s="1"/>
      <c r="H585" s="2">
        <f t="shared" si="9"/>
        <v>-123.87</v>
      </c>
      <c r="I585" s="16" t="str">
        <f>TEXT(Table3[[#This Row],[Date]],"mmm")</f>
        <v>Dec</v>
      </c>
    </row>
    <row r="586" spans="1:9" x14ac:dyDescent="0.3">
      <c r="A586" s="8" t="s">
        <v>307</v>
      </c>
      <c r="B586" s="1" t="s">
        <v>320</v>
      </c>
      <c r="C586" s="1" t="s">
        <v>8</v>
      </c>
      <c r="D586" s="1" t="s">
        <v>28</v>
      </c>
      <c r="E586" s="1" t="s">
        <v>324</v>
      </c>
      <c r="F586" s="1">
        <v>133.38999999999999</v>
      </c>
      <c r="G586" s="1"/>
      <c r="H586" s="2">
        <f t="shared" si="9"/>
        <v>-133.38999999999999</v>
      </c>
      <c r="I586" s="16" t="str">
        <f>TEXT(Table3[[#This Row],[Date]],"mmm")</f>
        <v>Dec</v>
      </c>
    </row>
    <row r="587" spans="1:9" x14ac:dyDescent="0.3">
      <c r="A587" s="8" t="s">
        <v>307</v>
      </c>
      <c r="B587" s="1" t="s">
        <v>320</v>
      </c>
      <c r="C587" s="1" t="s">
        <v>8</v>
      </c>
      <c r="D587" s="1" t="s">
        <v>26</v>
      </c>
      <c r="E587" s="1" t="s">
        <v>324</v>
      </c>
      <c r="F587" s="1">
        <v>82.85</v>
      </c>
      <c r="G587" s="1"/>
      <c r="H587" s="2">
        <f t="shared" si="9"/>
        <v>-82.85</v>
      </c>
      <c r="I587" s="16" t="str">
        <f>TEXT(Table3[[#This Row],[Date]],"mmm")</f>
        <v>Dec</v>
      </c>
    </row>
    <row r="588" spans="1:9" x14ac:dyDescent="0.3">
      <c r="A588" s="8" t="s">
        <v>308</v>
      </c>
      <c r="B588" s="1" t="s">
        <v>321</v>
      </c>
      <c r="C588" s="1" t="s">
        <v>8</v>
      </c>
      <c r="D588" s="1" t="s">
        <v>16</v>
      </c>
      <c r="E588" s="1" t="s">
        <v>324</v>
      </c>
      <c r="F588" s="1">
        <v>169.28</v>
      </c>
      <c r="G588" s="1"/>
      <c r="H588" s="2">
        <f t="shared" si="9"/>
        <v>-169.28</v>
      </c>
      <c r="I588" s="16" t="str">
        <f>TEXT(Table3[[#This Row],[Date]],"mmm")</f>
        <v>Dec</v>
      </c>
    </row>
    <row r="589" spans="1:9" x14ac:dyDescent="0.3">
      <c r="A589" s="8" t="s">
        <v>308</v>
      </c>
      <c r="B589" s="1" t="s">
        <v>321</v>
      </c>
      <c r="C589" s="1" t="s">
        <v>11</v>
      </c>
      <c r="D589" s="1" t="s">
        <v>20</v>
      </c>
      <c r="E589" s="1" t="s">
        <v>324</v>
      </c>
      <c r="F589" s="1">
        <v>193.76</v>
      </c>
      <c r="G589" s="1"/>
      <c r="H589" s="2">
        <f t="shared" si="9"/>
        <v>-193.76</v>
      </c>
      <c r="I589" s="16" t="str">
        <f>TEXT(Table3[[#This Row],[Date]],"mmm")</f>
        <v>Dec</v>
      </c>
    </row>
    <row r="590" spans="1:9" x14ac:dyDescent="0.3">
      <c r="A590" s="8" t="s">
        <v>308</v>
      </c>
      <c r="B590" s="1" t="s">
        <v>320</v>
      </c>
      <c r="C590" s="1" t="s">
        <v>6</v>
      </c>
      <c r="D590" s="1" t="s">
        <v>18</v>
      </c>
      <c r="E590" s="1" t="s">
        <v>324</v>
      </c>
      <c r="F590" s="1">
        <v>144.03</v>
      </c>
      <c r="G590" s="1"/>
      <c r="H590" s="2">
        <f t="shared" si="9"/>
        <v>-144.03</v>
      </c>
      <c r="I590" s="16" t="str">
        <f>TEXT(Table3[[#This Row],[Date]],"mmm")</f>
        <v>Dec</v>
      </c>
    </row>
    <row r="591" spans="1:9" x14ac:dyDescent="0.3">
      <c r="A591" s="8" t="s">
        <v>308</v>
      </c>
      <c r="B591" s="1" t="s">
        <v>320</v>
      </c>
      <c r="C591" s="1" t="s">
        <v>12</v>
      </c>
      <c r="D591" s="1" t="s">
        <v>29</v>
      </c>
      <c r="E591" s="1" t="s">
        <v>324</v>
      </c>
      <c r="F591" s="1">
        <v>171.48</v>
      </c>
      <c r="G591" s="1"/>
      <c r="H591" s="2">
        <f t="shared" si="9"/>
        <v>-171.48</v>
      </c>
      <c r="I591" s="16" t="str">
        <f>TEXT(Table3[[#This Row],[Date]],"mmm")</f>
        <v>Dec</v>
      </c>
    </row>
    <row r="592" spans="1:9" x14ac:dyDescent="0.3">
      <c r="A592" s="8" t="s">
        <v>309</v>
      </c>
      <c r="B592" s="1" t="s">
        <v>322</v>
      </c>
      <c r="C592" s="1" t="s">
        <v>12</v>
      </c>
      <c r="D592" s="1" t="s">
        <v>24</v>
      </c>
      <c r="E592" s="1" t="s">
        <v>324</v>
      </c>
      <c r="F592" s="1">
        <v>119.91</v>
      </c>
      <c r="G592" s="1"/>
      <c r="H592" s="2">
        <f t="shared" si="9"/>
        <v>-119.91</v>
      </c>
      <c r="I592" s="16" t="str">
        <f>TEXT(Table3[[#This Row],[Date]],"mmm")</f>
        <v>Dec</v>
      </c>
    </row>
    <row r="593" spans="1:9" x14ac:dyDescent="0.3">
      <c r="A593" s="8" t="s">
        <v>310</v>
      </c>
      <c r="B593" s="1" t="s">
        <v>320</v>
      </c>
      <c r="C593" s="1" t="s">
        <v>10</v>
      </c>
      <c r="D593" s="1" t="s">
        <v>19</v>
      </c>
      <c r="E593" s="1" t="s">
        <v>324</v>
      </c>
      <c r="F593" s="1">
        <v>69.77</v>
      </c>
      <c r="G593" s="1"/>
      <c r="H593" s="2">
        <f t="shared" si="9"/>
        <v>-69.77</v>
      </c>
      <c r="I593" s="16" t="str">
        <f>TEXT(Table3[[#This Row],[Date]],"mmm")</f>
        <v>Dec</v>
      </c>
    </row>
    <row r="594" spans="1:9" x14ac:dyDescent="0.3">
      <c r="A594" s="8" t="s">
        <v>310</v>
      </c>
      <c r="B594" s="1" t="s">
        <v>320</v>
      </c>
      <c r="C594" s="1" t="s">
        <v>11</v>
      </c>
      <c r="D594" s="1" t="s">
        <v>27</v>
      </c>
      <c r="E594" s="1" t="s">
        <v>324</v>
      </c>
      <c r="F594" s="1">
        <v>45.21</v>
      </c>
      <c r="G594" s="1"/>
      <c r="H594" s="2">
        <f t="shared" si="9"/>
        <v>-45.21</v>
      </c>
      <c r="I594" s="16" t="str">
        <f>TEXT(Table3[[#This Row],[Date]],"mmm")</f>
        <v>Dec</v>
      </c>
    </row>
    <row r="595" spans="1:9" x14ac:dyDescent="0.3">
      <c r="A595" s="8" t="s">
        <v>311</v>
      </c>
      <c r="B595" s="1" t="s">
        <v>320</v>
      </c>
      <c r="C595" s="1" t="s">
        <v>8</v>
      </c>
      <c r="D595" s="1" t="s">
        <v>26</v>
      </c>
      <c r="E595" s="1" t="s">
        <v>324</v>
      </c>
      <c r="F595" s="1">
        <v>97.89</v>
      </c>
      <c r="G595" s="1"/>
      <c r="H595" s="2">
        <f t="shared" si="9"/>
        <v>-97.89</v>
      </c>
      <c r="I595" s="16" t="str">
        <f>TEXT(Table3[[#This Row],[Date]],"mmm")</f>
        <v>Dec</v>
      </c>
    </row>
    <row r="596" spans="1:9" x14ac:dyDescent="0.3">
      <c r="A596" s="8" t="s">
        <v>312</v>
      </c>
      <c r="B596" s="1" t="s">
        <v>321</v>
      </c>
      <c r="C596" s="1" t="s">
        <v>9</v>
      </c>
      <c r="D596" s="1" t="s">
        <v>17</v>
      </c>
      <c r="E596" s="1" t="s">
        <v>324</v>
      </c>
      <c r="F596" s="1">
        <v>233.61</v>
      </c>
      <c r="G596" s="1"/>
      <c r="H596" s="2">
        <f t="shared" si="9"/>
        <v>-233.61</v>
      </c>
      <c r="I596" s="16" t="str">
        <f>TEXT(Table3[[#This Row],[Date]],"mmm")</f>
        <v>Dec</v>
      </c>
    </row>
    <row r="597" spans="1:9" x14ac:dyDescent="0.3">
      <c r="A597" s="8" t="s">
        <v>313</v>
      </c>
      <c r="B597" s="1" t="s">
        <v>321</v>
      </c>
      <c r="C597" s="1" t="s">
        <v>8</v>
      </c>
      <c r="D597" s="1" t="s">
        <v>26</v>
      </c>
      <c r="E597" s="1" t="s">
        <v>324</v>
      </c>
      <c r="F597" s="1">
        <v>81.95</v>
      </c>
      <c r="G597" s="1"/>
      <c r="H597" s="2">
        <f t="shared" si="9"/>
        <v>-81.95</v>
      </c>
      <c r="I597" s="16" t="str">
        <f>TEXT(Table3[[#This Row],[Date]],"mmm")</f>
        <v>Dec</v>
      </c>
    </row>
    <row r="598" spans="1:9" x14ac:dyDescent="0.3">
      <c r="A598" s="8" t="s">
        <v>313</v>
      </c>
      <c r="B598" s="1" t="s">
        <v>320</v>
      </c>
      <c r="C598" s="1" t="s">
        <v>7</v>
      </c>
      <c r="D598" s="1" t="s">
        <v>15</v>
      </c>
      <c r="E598" s="1" t="s">
        <v>324</v>
      </c>
      <c r="F598" s="1">
        <v>101.93</v>
      </c>
      <c r="G598" s="1"/>
      <c r="H598" s="2">
        <f t="shared" si="9"/>
        <v>-101.93</v>
      </c>
      <c r="I598" s="16" t="str">
        <f>TEXT(Table3[[#This Row],[Date]],"mmm")</f>
        <v>Dec</v>
      </c>
    </row>
    <row r="599" spans="1:9" x14ac:dyDescent="0.3">
      <c r="A599" s="8" t="s">
        <v>314</v>
      </c>
      <c r="B599" s="1" t="s">
        <v>321</v>
      </c>
      <c r="C599" s="1" t="s">
        <v>8</v>
      </c>
      <c r="D599" s="1" t="s">
        <v>26</v>
      </c>
      <c r="E599" s="1" t="s">
        <v>324</v>
      </c>
      <c r="F599" s="1">
        <v>116.47</v>
      </c>
      <c r="G599" s="1"/>
      <c r="H599" s="2">
        <f t="shared" si="9"/>
        <v>-116.47</v>
      </c>
      <c r="I599" s="16" t="str">
        <f>TEXT(Table3[[#This Row],[Date]],"mmm")</f>
        <v>Dec</v>
      </c>
    </row>
    <row r="600" spans="1:9" x14ac:dyDescent="0.3">
      <c r="A600" s="8" t="s">
        <v>314</v>
      </c>
      <c r="B600" s="1" t="s">
        <v>320</v>
      </c>
      <c r="C600" s="1" t="s">
        <v>8</v>
      </c>
      <c r="D600" s="1" t="s">
        <v>16</v>
      </c>
      <c r="E600" s="1" t="s">
        <v>324</v>
      </c>
      <c r="F600" s="1">
        <v>128.43</v>
      </c>
      <c r="G600" s="1"/>
      <c r="H600" s="2">
        <f t="shared" si="9"/>
        <v>-128.43</v>
      </c>
      <c r="I600" s="16" t="str">
        <f>TEXT(Table3[[#This Row],[Date]],"mmm")</f>
        <v>Dec</v>
      </c>
    </row>
    <row r="601" spans="1:9" x14ac:dyDescent="0.3">
      <c r="A601" s="8" t="s">
        <v>315</v>
      </c>
      <c r="B601" s="1" t="s">
        <v>321</v>
      </c>
      <c r="C601" s="1" t="s">
        <v>10</v>
      </c>
      <c r="D601" s="1" t="s">
        <v>22</v>
      </c>
      <c r="E601" s="1" t="s">
        <v>324</v>
      </c>
      <c r="F601" s="1">
        <v>33.11</v>
      </c>
      <c r="G601" s="1"/>
      <c r="H601" s="2">
        <f t="shared" si="9"/>
        <v>-33.11</v>
      </c>
      <c r="I601" s="16" t="str">
        <f>TEXT(Table3[[#This Row],[Date]],"mmm")</f>
        <v>Dec</v>
      </c>
    </row>
    <row r="602" spans="1:9" x14ac:dyDescent="0.3">
      <c r="A602" s="8" t="s">
        <v>315</v>
      </c>
      <c r="B602" s="1" t="s">
        <v>320</v>
      </c>
      <c r="C602" s="1" t="s">
        <v>11</v>
      </c>
      <c r="D602" s="1" t="s">
        <v>20</v>
      </c>
      <c r="E602" s="1" t="s">
        <v>324</v>
      </c>
      <c r="F602" s="1">
        <v>228.08</v>
      </c>
      <c r="G602" s="1"/>
      <c r="H602" s="2">
        <f t="shared" si="9"/>
        <v>-228.08</v>
      </c>
      <c r="I602" s="16" t="str">
        <f>TEXT(Table3[[#This Row],[Date]],"mmm")</f>
        <v>Dec</v>
      </c>
    </row>
    <row r="603" spans="1:9" x14ac:dyDescent="0.3">
      <c r="A603" s="8" t="s">
        <v>315</v>
      </c>
      <c r="B603" s="1" t="s">
        <v>320</v>
      </c>
      <c r="C603" s="1" t="s">
        <v>10</v>
      </c>
      <c r="D603" s="1" t="s">
        <v>19</v>
      </c>
      <c r="E603" s="1" t="s">
        <v>324</v>
      </c>
      <c r="F603" s="1">
        <v>22.59</v>
      </c>
      <c r="G603" s="1"/>
      <c r="H603" s="2">
        <f t="shared" si="9"/>
        <v>-22.59</v>
      </c>
      <c r="I603" s="16" t="str">
        <f>TEXT(Table3[[#This Row],[Date]],"mmm")</f>
        <v>Dec</v>
      </c>
    </row>
    <row r="604" spans="1:9" x14ac:dyDescent="0.3">
      <c r="A604" s="8" t="s">
        <v>316</v>
      </c>
      <c r="B604" s="1" t="s">
        <v>320</v>
      </c>
      <c r="C604" s="1" t="s">
        <v>8</v>
      </c>
      <c r="D604" s="1" t="s">
        <v>16</v>
      </c>
      <c r="E604" s="1" t="s">
        <v>324</v>
      </c>
      <c r="F604" s="1">
        <v>114.29</v>
      </c>
      <c r="G604" s="1"/>
      <c r="H604" s="2">
        <f t="shared" si="9"/>
        <v>-114.29</v>
      </c>
      <c r="I604" s="16" t="str">
        <f>TEXT(Table3[[#This Row],[Date]],"mmm")</f>
        <v>Dec</v>
      </c>
    </row>
    <row r="605" spans="1:9" x14ac:dyDescent="0.3">
      <c r="A605" s="8" t="s">
        <v>316</v>
      </c>
      <c r="B605" s="1" t="s">
        <v>322</v>
      </c>
      <c r="C605" s="1" t="s">
        <v>12</v>
      </c>
      <c r="D605" s="1" t="s">
        <v>24</v>
      </c>
      <c r="E605" s="1" t="s">
        <v>324</v>
      </c>
      <c r="F605" s="1">
        <v>182.27</v>
      </c>
      <c r="G605" s="1"/>
      <c r="H605" s="2">
        <f t="shared" si="9"/>
        <v>-182.27</v>
      </c>
      <c r="I605" s="16" t="str">
        <f>TEXT(Table3[[#This Row],[Date]],"mmm")</f>
        <v>Dec</v>
      </c>
    </row>
    <row r="606" spans="1:9" x14ac:dyDescent="0.3">
      <c r="A606" s="8" t="s">
        <v>317</v>
      </c>
      <c r="B606" s="1" t="s">
        <v>320</v>
      </c>
      <c r="C606" s="1" t="s">
        <v>11</v>
      </c>
      <c r="D606" s="1" t="s">
        <v>20</v>
      </c>
      <c r="E606" s="1" t="s">
        <v>324</v>
      </c>
      <c r="F606" s="1">
        <v>213.02</v>
      </c>
      <c r="G606" s="1"/>
      <c r="H606" s="2">
        <f t="shared" si="9"/>
        <v>-213.02</v>
      </c>
      <c r="I606" s="16" t="str">
        <f>TEXT(Table3[[#This Row],[Date]],"mmm")</f>
        <v>Dec</v>
      </c>
    </row>
    <row r="607" spans="1:9" x14ac:dyDescent="0.3">
      <c r="A607" s="8" t="s">
        <v>317</v>
      </c>
      <c r="B607" s="1" t="s">
        <v>321</v>
      </c>
      <c r="C607" s="1" t="s">
        <v>6</v>
      </c>
      <c r="D607" s="1" t="s">
        <v>14</v>
      </c>
      <c r="E607" s="1" t="s">
        <v>324</v>
      </c>
      <c r="F607" s="1">
        <v>112.76</v>
      </c>
      <c r="G607" s="1"/>
      <c r="H607" s="2">
        <f t="shared" si="9"/>
        <v>-112.76</v>
      </c>
      <c r="I607" s="16" t="str">
        <f>TEXT(Table3[[#This Row],[Date]],"mmm")</f>
        <v>Dec</v>
      </c>
    </row>
    <row r="608" spans="1:9" x14ac:dyDescent="0.3">
      <c r="A608" s="8" t="s">
        <v>318</v>
      </c>
      <c r="B608" s="1" t="s">
        <v>321</v>
      </c>
      <c r="C608" s="1" t="s">
        <v>8</v>
      </c>
      <c r="D608" s="1" t="s">
        <v>26</v>
      </c>
      <c r="E608" s="1" t="s">
        <v>324</v>
      </c>
      <c r="F608" s="1">
        <v>142.69</v>
      </c>
      <c r="G608" s="1"/>
      <c r="H608" s="2">
        <f t="shared" si="9"/>
        <v>-142.69</v>
      </c>
      <c r="I608" s="16" t="str">
        <f>TEXT(Table3[[#This Row],[Date]],"mmm")</f>
        <v>Dec</v>
      </c>
    </row>
    <row r="609" spans="1:9" x14ac:dyDescent="0.3">
      <c r="A609" s="8" t="s">
        <v>318</v>
      </c>
      <c r="B609" s="1" t="s">
        <v>320</v>
      </c>
      <c r="C609" s="1" t="s">
        <v>7</v>
      </c>
      <c r="D609" s="1" t="s">
        <v>15</v>
      </c>
      <c r="E609" s="1" t="s">
        <v>324</v>
      </c>
      <c r="F609" s="1">
        <v>125.66</v>
      </c>
      <c r="G609" s="1"/>
      <c r="H609" s="2">
        <f t="shared" si="9"/>
        <v>-125.66</v>
      </c>
      <c r="I609" s="16" t="str">
        <f>TEXT(Table3[[#This Row],[Date]],"mmm")</f>
        <v>Dec</v>
      </c>
    </row>
    <row r="610" spans="1:9" x14ac:dyDescent="0.3">
      <c r="A610" s="8" t="s">
        <v>318</v>
      </c>
      <c r="B610" s="1" t="s">
        <v>320</v>
      </c>
      <c r="C610" s="1" t="s">
        <v>7</v>
      </c>
      <c r="D610" s="1" t="s">
        <v>23</v>
      </c>
      <c r="E610" s="1" t="s">
        <v>324</v>
      </c>
      <c r="F610" s="1">
        <v>113.05</v>
      </c>
      <c r="G610" s="1"/>
      <c r="H610" s="2">
        <f t="shared" si="9"/>
        <v>-113.05</v>
      </c>
      <c r="I610" s="16" t="str">
        <f>TEXT(Table3[[#This Row],[Date]],"mmm")</f>
        <v>Dec</v>
      </c>
    </row>
    <row r="611" spans="1:9" x14ac:dyDescent="0.3">
      <c r="A611" s="8" t="s">
        <v>319</v>
      </c>
      <c r="B611" s="1" t="s">
        <v>320</v>
      </c>
      <c r="C611" s="1" t="s">
        <v>6</v>
      </c>
      <c r="D611" s="1" t="s">
        <v>14</v>
      </c>
      <c r="E611" s="1" t="s">
        <v>324</v>
      </c>
      <c r="F611" s="1">
        <v>62.44</v>
      </c>
      <c r="G611" s="1"/>
      <c r="H611" s="2">
        <f t="shared" si="9"/>
        <v>-62.44</v>
      </c>
      <c r="I611" s="16" t="str">
        <f>TEXT(Table3[[#This Row],[Date]],"mmm")</f>
        <v>Dec</v>
      </c>
    </row>
    <row r="612" spans="1:9" x14ac:dyDescent="0.3">
      <c r="A612" s="8" t="s">
        <v>319</v>
      </c>
      <c r="B612" s="1" t="s">
        <v>320</v>
      </c>
      <c r="C612" s="1" t="s">
        <v>10</v>
      </c>
      <c r="D612" s="1" t="s">
        <v>19</v>
      </c>
      <c r="E612" s="1" t="s">
        <v>324</v>
      </c>
      <c r="F612" s="1">
        <v>192.93</v>
      </c>
      <c r="G612" s="1"/>
      <c r="H612" s="2">
        <f t="shared" si="9"/>
        <v>-192.93</v>
      </c>
      <c r="I612" s="16" t="str">
        <f>TEXT(Table3[[#This Row],[Date]],"mmm")</f>
        <v>Dec</v>
      </c>
    </row>
    <row r="613" spans="1:9" x14ac:dyDescent="0.3">
      <c r="A613" s="9" t="s">
        <v>319</v>
      </c>
      <c r="B613" s="6" t="s">
        <v>320</v>
      </c>
      <c r="C613" s="6" t="s">
        <v>13</v>
      </c>
      <c r="D613" s="6" t="s">
        <v>30</v>
      </c>
      <c r="E613" s="6" t="s">
        <v>13</v>
      </c>
      <c r="F613" s="6"/>
      <c r="G613" s="6">
        <v>7461</v>
      </c>
      <c r="H613" s="7">
        <v>7461</v>
      </c>
      <c r="I613" s="17" t="str">
        <f>TEXT(Table3[[#This Row],[Date]],"mmm")</f>
        <v>Dec</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D6ECA-8916-41C6-A439-44AC2C19E82D}">
  <sheetPr codeName="Sheet3"/>
  <dimension ref="B1:U39"/>
  <sheetViews>
    <sheetView showGridLines="0" zoomScale="47" zoomScaleNormal="47" workbookViewId="0">
      <selection activeCell="R44" sqref="R44"/>
    </sheetView>
  </sheetViews>
  <sheetFormatPr defaultRowHeight="14.4" x14ac:dyDescent="0.3"/>
  <cols>
    <col min="2" max="2" width="19.21875" bestFit="1" customWidth="1"/>
    <col min="3" max="3" width="18.33203125" customWidth="1"/>
    <col min="5" max="5" width="20.21875" customWidth="1"/>
    <col min="6" max="6" width="14.109375" customWidth="1"/>
    <col min="8" max="8" width="17.5546875" customWidth="1"/>
    <col min="9" max="9" width="22.44140625" customWidth="1"/>
    <col min="11" max="11" width="15.109375" customWidth="1"/>
    <col min="12" max="12" width="14.6640625" customWidth="1"/>
    <col min="14" max="14" width="17" customWidth="1"/>
    <col min="15" max="15" width="11.77734375" customWidth="1"/>
    <col min="17" max="17" width="19" customWidth="1"/>
    <col min="18" max="18" width="14.5546875" customWidth="1"/>
    <col min="20" max="20" width="14.88671875" customWidth="1"/>
    <col min="21" max="21" width="17.21875" customWidth="1"/>
  </cols>
  <sheetData>
    <row r="1" spans="2:21" ht="15.6" x14ac:dyDescent="0.3">
      <c r="B1" s="19" t="s">
        <v>342</v>
      </c>
      <c r="C1" s="19"/>
      <c r="E1" s="19" t="s">
        <v>344</v>
      </c>
      <c r="F1" s="19"/>
      <c r="H1" s="19" t="s">
        <v>345</v>
      </c>
      <c r="I1" s="19"/>
      <c r="N1" s="21" t="s">
        <v>349</v>
      </c>
      <c r="O1" s="21"/>
      <c r="Q1" s="21" t="s">
        <v>350</v>
      </c>
      <c r="R1" s="21"/>
      <c r="T1" s="21" t="s">
        <v>351</v>
      </c>
      <c r="U1" s="21"/>
    </row>
    <row r="3" spans="2:21" x14ac:dyDescent="0.3">
      <c r="H3" s="10" t="s">
        <v>323</v>
      </c>
      <c r="I3" t="s">
        <v>324</v>
      </c>
      <c r="K3" s="10" t="s">
        <v>323</v>
      </c>
      <c r="L3" t="s">
        <v>13</v>
      </c>
      <c r="N3" s="10" t="s">
        <v>323</v>
      </c>
      <c r="O3" t="s">
        <v>324</v>
      </c>
    </row>
    <row r="5" spans="2:21" x14ac:dyDescent="0.3">
      <c r="B5" s="10" t="s">
        <v>343</v>
      </c>
      <c r="C5" t="s">
        <v>327</v>
      </c>
      <c r="E5" s="10" t="s">
        <v>343</v>
      </c>
      <c r="F5" t="s">
        <v>327</v>
      </c>
      <c r="H5" s="10" t="s">
        <v>343</v>
      </c>
      <c r="I5" t="s">
        <v>327</v>
      </c>
      <c r="K5" s="10" t="s">
        <v>343</v>
      </c>
      <c r="L5" t="s">
        <v>346</v>
      </c>
      <c r="N5" s="10" t="s">
        <v>343</v>
      </c>
      <c r="O5" t="s">
        <v>327</v>
      </c>
      <c r="Q5" s="10" t="s">
        <v>343</v>
      </c>
      <c r="R5" t="s">
        <v>329</v>
      </c>
      <c r="T5" s="10" t="s">
        <v>343</v>
      </c>
      <c r="U5" t="s">
        <v>329</v>
      </c>
    </row>
    <row r="6" spans="2:21" x14ac:dyDescent="0.3">
      <c r="B6" s="11" t="s">
        <v>11</v>
      </c>
      <c r="C6" s="18">
        <v>15257.369999999997</v>
      </c>
      <c r="E6" s="11" t="s">
        <v>322</v>
      </c>
      <c r="F6" s="18">
        <v>2263.37</v>
      </c>
      <c r="H6" s="11" t="s">
        <v>330</v>
      </c>
      <c r="I6" s="24">
        <v>6612.9199999999992</v>
      </c>
      <c r="K6" s="11" t="s">
        <v>330</v>
      </c>
      <c r="L6" s="25">
        <v>7461</v>
      </c>
      <c r="N6" s="11" t="s">
        <v>17</v>
      </c>
      <c r="O6" s="18">
        <v>4030.1299999999997</v>
      </c>
      <c r="Q6" s="11" t="s">
        <v>7</v>
      </c>
      <c r="R6" s="22">
        <v>-7579.32</v>
      </c>
      <c r="T6" s="11" t="s">
        <v>324</v>
      </c>
      <c r="U6" s="22">
        <v>-74645.050000000032</v>
      </c>
    </row>
    <row r="7" spans="2:21" x14ac:dyDescent="0.3">
      <c r="B7" s="11" t="s">
        <v>8</v>
      </c>
      <c r="C7" s="18">
        <v>14824.000000000005</v>
      </c>
      <c r="E7" s="11" t="s">
        <v>320</v>
      </c>
      <c r="F7" s="18">
        <v>35015.08</v>
      </c>
      <c r="H7" s="11" t="s">
        <v>331</v>
      </c>
      <c r="I7" s="24">
        <v>6661.51</v>
      </c>
      <c r="K7" s="11" t="s">
        <v>331</v>
      </c>
      <c r="L7" s="25">
        <v>7461</v>
      </c>
      <c r="N7" s="11" t="s">
        <v>26</v>
      </c>
      <c r="O7" s="18">
        <v>5560.7600000000011</v>
      </c>
      <c r="Q7" s="11" t="s">
        <v>9</v>
      </c>
      <c r="R7" s="22">
        <v>-10101.750000000002</v>
      </c>
      <c r="T7" s="11" t="s">
        <v>13</v>
      </c>
      <c r="U7" s="22">
        <v>89532</v>
      </c>
    </row>
    <row r="8" spans="2:21" x14ac:dyDescent="0.3">
      <c r="B8" s="11" t="s">
        <v>9</v>
      </c>
      <c r="C8" s="18">
        <v>10101.750000000002</v>
      </c>
      <c r="E8" s="11" t="s">
        <v>321</v>
      </c>
      <c r="F8" s="18">
        <v>37366.600000000035</v>
      </c>
      <c r="H8" s="11" t="s">
        <v>332</v>
      </c>
      <c r="I8" s="24">
        <v>6554.0699999999988</v>
      </c>
      <c r="K8" s="11" t="s">
        <v>332</v>
      </c>
      <c r="L8" s="25">
        <v>7461</v>
      </c>
      <c r="N8" s="11" t="s">
        <v>23</v>
      </c>
      <c r="O8" s="18">
        <v>4033.3999999999996</v>
      </c>
      <c r="Q8" s="11" t="s">
        <v>12</v>
      </c>
      <c r="R8" s="22">
        <v>-7120.7000000000007</v>
      </c>
      <c r="T8" s="11" t="s">
        <v>328</v>
      </c>
      <c r="U8" s="22">
        <v>14886.949999999968</v>
      </c>
    </row>
    <row r="9" spans="2:21" x14ac:dyDescent="0.3">
      <c r="B9" s="11" t="s">
        <v>6</v>
      </c>
      <c r="C9" s="18">
        <v>10028.799999999999</v>
      </c>
      <c r="E9" s="11" t="s">
        <v>328</v>
      </c>
      <c r="F9" s="18">
        <v>74645.050000000047</v>
      </c>
      <c r="H9" s="11" t="s">
        <v>333</v>
      </c>
      <c r="I9" s="24">
        <v>5597.9800000000005</v>
      </c>
      <c r="K9" s="11" t="s">
        <v>333</v>
      </c>
      <c r="L9" s="25">
        <v>7461</v>
      </c>
      <c r="N9" s="11" t="s">
        <v>29</v>
      </c>
      <c r="O9" s="18">
        <v>2961.7000000000003</v>
      </c>
      <c r="Q9" s="11" t="s">
        <v>6</v>
      </c>
      <c r="R9" s="22">
        <v>-10028.799999999999</v>
      </c>
      <c r="U9" s="23"/>
    </row>
    <row r="10" spans="2:21" x14ac:dyDescent="0.3">
      <c r="B10" s="11" t="s">
        <v>10</v>
      </c>
      <c r="C10" s="18">
        <v>9733.11</v>
      </c>
      <c r="H10" s="11" t="s">
        <v>334</v>
      </c>
      <c r="I10" s="24">
        <v>5589.3500000000022</v>
      </c>
      <c r="K10" s="11" t="s">
        <v>334</v>
      </c>
      <c r="L10" s="25">
        <v>7461</v>
      </c>
      <c r="N10" s="11" t="s">
        <v>22</v>
      </c>
      <c r="O10" s="18">
        <v>6064.3899999999985</v>
      </c>
      <c r="Q10" s="11" t="s">
        <v>11</v>
      </c>
      <c r="R10" s="22">
        <v>-15257.369999999997</v>
      </c>
      <c r="U10" s="23"/>
    </row>
    <row r="11" spans="2:21" x14ac:dyDescent="0.3">
      <c r="B11" s="11" t="s">
        <v>7</v>
      </c>
      <c r="C11" s="18">
        <v>7579.32</v>
      </c>
      <c r="H11" s="11" t="s">
        <v>335</v>
      </c>
      <c r="I11" s="24">
        <v>6188.2399999999989</v>
      </c>
      <c r="K11" s="11" t="s">
        <v>335</v>
      </c>
      <c r="L11" s="25">
        <v>7461</v>
      </c>
      <c r="N11" s="11" t="s">
        <v>28</v>
      </c>
      <c r="O11" s="18">
        <v>4487.82</v>
      </c>
      <c r="Q11" s="11" t="s">
        <v>13</v>
      </c>
      <c r="R11" s="22">
        <v>89532</v>
      </c>
    </row>
    <row r="12" spans="2:21" x14ac:dyDescent="0.3">
      <c r="B12" s="11" t="s">
        <v>12</v>
      </c>
      <c r="C12" s="18">
        <v>7120.7000000000007</v>
      </c>
      <c r="H12" s="11" t="s">
        <v>336</v>
      </c>
      <c r="I12" s="24">
        <v>6402.420000000001</v>
      </c>
      <c r="K12" s="11" t="s">
        <v>336</v>
      </c>
      <c r="L12" s="25">
        <v>7461</v>
      </c>
      <c r="N12" s="11" t="s">
        <v>24</v>
      </c>
      <c r="O12" s="18">
        <v>4159.0000000000009</v>
      </c>
      <c r="Q12" s="11" t="s">
        <v>10</v>
      </c>
      <c r="R12" s="22">
        <v>-9733.11</v>
      </c>
    </row>
    <row r="13" spans="2:21" x14ac:dyDescent="0.3">
      <c r="B13" s="11" t="s">
        <v>13</v>
      </c>
      <c r="C13" s="18"/>
      <c r="H13" s="11" t="s">
        <v>337</v>
      </c>
      <c r="I13" s="24">
        <v>6629.48</v>
      </c>
      <c r="K13" s="11" t="s">
        <v>337</v>
      </c>
      <c r="L13" s="25">
        <v>7461</v>
      </c>
      <c r="N13" s="11" t="s">
        <v>14</v>
      </c>
      <c r="O13" s="18">
        <v>5921.4900000000007</v>
      </c>
      <c r="Q13" s="11" t="s">
        <v>8</v>
      </c>
      <c r="R13" s="22">
        <v>-14824.000000000005</v>
      </c>
    </row>
    <row r="14" spans="2:21" x14ac:dyDescent="0.3">
      <c r="H14" s="11" t="s">
        <v>338</v>
      </c>
      <c r="I14" s="24">
        <v>6053.5200000000013</v>
      </c>
      <c r="K14" s="11" t="s">
        <v>338</v>
      </c>
      <c r="L14" s="25">
        <v>7461</v>
      </c>
      <c r="N14" s="11" t="s">
        <v>27</v>
      </c>
      <c r="O14" s="18">
        <v>4905.6400000000012</v>
      </c>
      <c r="Q14" s="11" t="s">
        <v>328</v>
      </c>
      <c r="R14" s="18">
        <v>14886.949999999999</v>
      </c>
    </row>
    <row r="15" spans="2:21" x14ac:dyDescent="0.3">
      <c r="H15" s="11" t="s">
        <v>339</v>
      </c>
      <c r="I15" s="24">
        <v>6356.79</v>
      </c>
      <c r="K15" s="11" t="s">
        <v>339</v>
      </c>
      <c r="L15" s="25">
        <v>7461</v>
      </c>
      <c r="N15" s="11" t="s">
        <v>18</v>
      </c>
      <c r="O15" s="18">
        <v>4107.3099999999995</v>
      </c>
    </row>
    <row r="16" spans="2:21" x14ac:dyDescent="0.3">
      <c r="H16" s="11" t="s">
        <v>340</v>
      </c>
      <c r="I16" s="24">
        <v>5873.5899999999983</v>
      </c>
      <c r="K16" s="11" t="s">
        <v>340</v>
      </c>
      <c r="L16" s="25">
        <v>7461</v>
      </c>
      <c r="N16" s="11" t="s">
        <v>16</v>
      </c>
      <c r="O16" s="18">
        <v>4775.42</v>
      </c>
    </row>
    <row r="17" spans="2:21" x14ac:dyDescent="0.3">
      <c r="H17" s="11" t="s">
        <v>341</v>
      </c>
      <c r="I17" s="24">
        <v>6125.1800000000012</v>
      </c>
      <c r="K17" s="11" t="s">
        <v>341</v>
      </c>
      <c r="L17" s="25">
        <v>7461</v>
      </c>
      <c r="N17" s="11" t="s">
        <v>20</v>
      </c>
      <c r="O17" s="18">
        <v>4742.5900000000011</v>
      </c>
    </row>
    <row r="18" spans="2:21" x14ac:dyDescent="0.3">
      <c r="N18" s="11" t="s">
        <v>19</v>
      </c>
      <c r="O18" s="18">
        <v>3668.72</v>
      </c>
    </row>
    <row r="19" spans="2:21" x14ac:dyDescent="0.3">
      <c r="N19" s="11" t="s">
        <v>15</v>
      </c>
      <c r="O19" s="18">
        <v>3545.9199999999992</v>
      </c>
    </row>
    <row r="20" spans="2:21" x14ac:dyDescent="0.3">
      <c r="N20" s="11" t="s">
        <v>21</v>
      </c>
      <c r="O20" s="18">
        <v>6071.6200000000008</v>
      </c>
    </row>
    <row r="21" spans="2:21" x14ac:dyDescent="0.3">
      <c r="N21" s="11" t="s">
        <v>25</v>
      </c>
      <c r="O21" s="18">
        <v>5609.1399999999985</v>
      </c>
    </row>
    <row r="23" spans="2:21" x14ac:dyDescent="0.3">
      <c r="B23" s="12" t="s">
        <v>343</v>
      </c>
      <c r="C23" s="12" t="s">
        <v>327</v>
      </c>
      <c r="E23" s="26" t="s">
        <v>328</v>
      </c>
      <c r="F23" s="27">
        <f>GETPIVOTDATA("Debit",$E$5)</f>
        <v>74645.050000000047</v>
      </c>
      <c r="H23" s="12" t="s">
        <v>343</v>
      </c>
      <c r="I23" s="12" t="s">
        <v>347</v>
      </c>
      <c r="J23" s="12" t="s">
        <v>348</v>
      </c>
      <c r="N23" s="12" t="s">
        <v>343</v>
      </c>
      <c r="O23" s="12" t="s">
        <v>327</v>
      </c>
      <c r="Q23" s="12" t="s">
        <v>343</v>
      </c>
      <c r="R23" s="12" t="s">
        <v>329</v>
      </c>
      <c r="T23" s="12" t="s">
        <v>324</v>
      </c>
      <c r="U23" s="23">
        <f>IFERROR(GETPIVOTDATA("Amount",$T$5,"Category Type",T6),0)</f>
        <v>-74645.050000000032</v>
      </c>
    </row>
    <row r="24" spans="2:21" x14ac:dyDescent="0.3">
      <c r="B24" s="11" t="str">
        <f>B6</f>
        <v>Housing</v>
      </c>
      <c r="C24" s="20">
        <f>IFERROR(GETPIVOTDATA("Debit",$B$5,"Category",B24),0)</f>
        <v>15257.369999999997</v>
      </c>
      <c r="H24" s="11" t="s">
        <v>330</v>
      </c>
      <c r="I24" s="24">
        <f>IFERROR(GETPIVOTDATA("Debit",$H$5,"Month",H24),0)</f>
        <v>6612.9199999999992</v>
      </c>
      <c r="J24" s="25">
        <f>IFERROR(GETPIVOTDATA("Credit",$K$5,"Month",H24),0)</f>
        <v>7461</v>
      </c>
      <c r="N24" s="11" t="s">
        <v>17</v>
      </c>
      <c r="O24" s="18">
        <f>IFERROR(GETPIVOTDATA("Debit",$N$5,"Subcategory",N24),0)</f>
        <v>4030.1299999999997</v>
      </c>
      <c r="Q24" s="11" t="s">
        <v>13</v>
      </c>
      <c r="R24" s="22">
        <f>IFERROR(GETPIVOTDATA("Amount",$Q$5,"Category",Q24),0)</f>
        <v>89532</v>
      </c>
      <c r="T24" s="12" t="s">
        <v>13</v>
      </c>
      <c r="U24" s="23">
        <f>IFERROR(GETPIVOTDATA("Amount",$T$5,"Category Type",T7),0)</f>
        <v>89532</v>
      </c>
    </row>
    <row r="25" spans="2:21" x14ac:dyDescent="0.3">
      <c r="B25" s="11" t="str">
        <f>B7</f>
        <v>Transportation</v>
      </c>
      <c r="C25" s="20">
        <f t="shared" ref="C25:C31" si="0">IFERROR(GETPIVOTDATA("Debit",$B$5,"Category",B25),0)</f>
        <v>14824.000000000005</v>
      </c>
      <c r="H25" s="11" t="s">
        <v>331</v>
      </c>
      <c r="I25" s="24">
        <f t="shared" ref="I25:I35" si="1">IFERROR(GETPIVOTDATA("Debit",$H$5,"Month",H25),0)</f>
        <v>6661.51</v>
      </c>
      <c r="J25" s="25">
        <f t="shared" ref="J25:J35" si="2">IFERROR(GETPIVOTDATA("Credit",$K$5,"Month",H25),0)</f>
        <v>7461</v>
      </c>
      <c r="N25" s="11" t="s">
        <v>26</v>
      </c>
      <c r="O25" s="18">
        <f t="shared" ref="O25:O39" si="3">IFERROR(GETPIVOTDATA("Debit",$N$5,"Subcategory",N25),0)</f>
        <v>5560.7600000000011</v>
      </c>
      <c r="Q25" s="11" t="s">
        <v>11</v>
      </c>
      <c r="R25" s="22">
        <f t="shared" ref="R25:R31" si="4">IFERROR(GETPIVOTDATA("Amount",$Q$5,"Category",Q25),0)</f>
        <v>-15257.369999999997</v>
      </c>
    </row>
    <row r="26" spans="2:21" x14ac:dyDescent="0.3">
      <c r="B26" s="11" t="str">
        <f>B8</f>
        <v>Education</v>
      </c>
      <c r="C26" s="20">
        <f t="shared" si="0"/>
        <v>10101.750000000002</v>
      </c>
      <c r="H26" s="11" t="s">
        <v>332</v>
      </c>
      <c r="I26" s="24">
        <f t="shared" si="1"/>
        <v>6554.0699999999988</v>
      </c>
      <c r="J26" s="25">
        <f t="shared" si="2"/>
        <v>7461</v>
      </c>
      <c r="N26" s="11" t="s">
        <v>23</v>
      </c>
      <c r="O26" s="18">
        <f t="shared" si="3"/>
        <v>4033.3999999999996</v>
      </c>
      <c r="Q26" s="11" t="s">
        <v>6</v>
      </c>
      <c r="R26" s="22">
        <f t="shared" si="4"/>
        <v>-10028.799999999999</v>
      </c>
    </row>
    <row r="27" spans="2:21" x14ac:dyDescent="0.3">
      <c r="B27" s="11" t="str">
        <f>B9</f>
        <v>Healthcare</v>
      </c>
      <c r="C27" s="20">
        <f t="shared" si="0"/>
        <v>10028.799999999999</v>
      </c>
      <c r="H27" s="11" t="s">
        <v>333</v>
      </c>
      <c r="I27" s="24">
        <f t="shared" si="1"/>
        <v>5597.9800000000005</v>
      </c>
      <c r="J27" s="25">
        <f t="shared" si="2"/>
        <v>7461</v>
      </c>
      <c r="N27" s="11" t="s">
        <v>29</v>
      </c>
      <c r="O27" s="18">
        <f t="shared" si="3"/>
        <v>2961.7000000000003</v>
      </c>
      <c r="Q27" s="11" t="s">
        <v>9</v>
      </c>
      <c r="R27" s="22">
        <f t="shared" si="4"/>
        <v>-10101.750000000002</v>
      </c>
    </row>
    <row r="28" spans="2:21" x14ac:dyDescent="0.3">
      <c r="B28" s="11" t="str">
        <f>B10</f>
        <v>Savings &amp; Investments</v>
      </c>
      <c r="C28" s="20">
        <f t="shared" si="0"/>
        <v>9733.11</v>
      </c>
      <c r="H28" s="11" t="s">
        <v>334</v>
      </c>
      <c r="I28" s="24">
        <f t="shared" si="1"/>
        <v>5589.3500000000022</v>
      </c>
      <c r="J28" s="25">
        <f t="shared" si="2"/>
        <v>7461</v>
      </c>
      <c r="N28" s="11" t="s">
        <v>22</v>
      </c>
      <c r="O28" s="18">
        <f t="shared" si="3"/>
        <v>6064.3899999999985</v>
      </c>
      <c r="Q28" s="11" t="s">
        <v>10</v>
      </c>
      <c r="R28" s="22">
        <f t="shared" si="4"/>
        <v>-9733.11</v>
      </c>
    </row>
    <row r="29" spans="2:21" x14ac:dyDescent="0.3">
      <c r="B29" s="11" t="str">
        <f>B11</f>
        <v>Debt Payments</v>
      </c>
      <c r="C29" s="20">
        <f t="shared" si="0"/>
        <v>7579.32</v>
      </c>
      <c r="H29" s="11" t="s">
        <v>335</v>
      </c>
      <c r="I29" s="24">
        <f t="shared" si="1"/>
        <v>6188.2399999999989</v>
      </c>
      <c r="J29" s="25">
        <f t="shared" si="2"/>
        <v>7461</v>
      </c>
      <c r="N29" s="11" t="s">
        <v>28</v>
      </c>
      <c r="O29" s="18">
        <f t="shared" si="3"/>
        <v>4487.82</v>
      </c>
      <c r="Q29" s="11" t="s">
        <v>8</v>
      </c>
      <c r="R29" s="22">
        <f t="shared" si="4"/>
        <v>-14824.000000000005</v>
      </c>
    </row>
    <row r="30" spans="2:21" x14ac:dyDescent="0.3">
      <c r="B30" s="11" t="str">
        <f>B12</f>
        <v>Food</v>
      </c>
      <c r="C30" s="20">
        <f t="shared" si="0"/>
        <v>7120.7000000000007</v>
      </c>
      <c r="H30" s="11" t="s">
        <v>336</v>
      </c>
      <c r="I30" s="24">
        <f t="shared" si="1"/>
        <v>6402.420000000001</v>
      </c>
      <c r="J30" s="25">
        <f t="shared" si="2"/>
        <v>7461</v>
      </c>
      <c r="N30" s="11" t="s">
        <v>24</v>
      </c>
      <c r="O30" s="18">
        <f t="shared" si="3"/>
        <v>4159.0000000000009</v>
      </c>
      <c r="Q30" s="11" t="s">
        <v>7</v>
      </c>
      <c r="R30" s="22">
        <f t="shared" si="4"/>
        <v>-7579.32</v>
      </c>
    </row>
    <row r="31" spans="2:21" x14ac:dyDescent="0.3">
      <c r="B31" s="11" t="str">
        <f>B13</f>
        <v>Income</v>
      </c>
      <c r="C31" s="20">
        <f t="shared" si="0"/>
        <v>0</v>
      </c>
      <c r="H31" s="11" t="s">
        <v>337</v>
      </c>
      <c r="I31" s="24">
        <f t="shared" si="1"/>
        <v>6629.48</v>
      </c>
      <c r="J31" s="25">
        <f t="shared" si="2"/>
        <v>7461</v>
      </c>
      <c r="N31" s="11" t="s">
        <v>14</v>
      </c>
      <c r="O31" s="18">
        <f t="shared" si="3"/>
        <v>5921.4900000000007</v>
      </c>
      <c r="Q31" s="11" t="s">
        <v>12</v>
      </c>
      <c r="R31" s="22">
        <f t="shared" si="4"/>
        <v>-7120.7000000000007</v>
      </c>
    </row>
    <row r="32" spans="2:21" x14ac:dyDescent="0.3">
      <c r="H32" s="11" t="s">
        <v>338</v>
      </c>
      <c r="I32" s="24">
        <f t="shared" si="1"/>
        <v>6053.5200000000013</v>
      </c>
      <c r="J32" s="25">
        <f t="shared" si="2"/>
        <v>7461</v>
      </c>
      <c r="N32" s="11" t="s">
        <v>27</v>
      </c>
      <c r="O32" s="18">
        <f t="shared" si="3"/>
        <v>4905.6400000000012</v>
      </c>
    </row>
    <row r="33" spans="8:15" x14ac:dyDescent="0.3">
      <c r="H33" s="11" t="s">
        <v>339</v>
      </c>
      <c r="I33" s="24">
        <f t="shared" si="1"/>
        <v>6356.79</v>
      </c>
      <c r="J33" s="25">
        <f t="shared" si="2"/>
        <v>7461</v>
      </c>
      <c r="N33" s="11" t="s">
        <v>18</v>
      </c>
      <c r="O33" s="18">
        <f t="shared" si="3"/>
        <v>4107.3099999999995</v>
      </c>
    </row>
    <row r="34" spans="8:15" x14ac:dyDescent="0.3">
      <c r="H34" s="11" t="s">
        <v>340</v>
      </c>
      <c r="I34" s="24">
        <f t="shared" si="1"/>
        <v>5873.5899999999983</v>
      </c>
      <c r="J34" s="25">
        <f t="shared" si="2"/>
        <v>7461</v>
      </c>
      <c r="N34" s="11" t="s">
        <v>16</v>
      </c>
      <c r="O34" s="18">
        <f t="shared" si="3"/>
        <v>4775.42</v>
      </c>
    </row>
    <row r="35" spans="8:15" x14ac:dyDescent="0.3">
      <c r="H35" s="11" t="s">
        <v>341</v>
      </c>
      <c r="I35" s="24">
        <f t="shared" si="1"/>
        <v>6125.1800000000012</v>
      </c>
      <c r="J35" s="25">
        <f t="shared" si="2"/>
        <v>7461</v>
      </c>
      <c r="N35" s="11" t="s">
        <v>20</v>
      </c>
      <c r="O35" s="18">
        <f t="shared" si="3"/>
        <v>4742.5900000000011</v>
      </c>
    </row>
    <row r="36" spans="8:15" x14ac:dyDescent="0.3">
      <c r="N36" s="11" t="s">
        <v>19</v>
      </c>
      <c r="O36" s="18">
        <f t="shared" si="3"/>
        <v>3668.72</v>
      </c>
    </row>
    <row r="37" spans="8:15" x14ac:dyDescent="0.3">
      <c r="N37" s="11" t="s">
        <v>15</v>
      </c>
      <c r="O37" s="18">
        <f t="shared" si="3"/>
        <v>3545.9199999999992</v>
      </c>
    </row>
    <row r="38" spans="8:15" x14ac:dyDescent="0.3">
      <c r="N38" s="11" t="s">
        <v>21</v>
      </c>
      <c r="O38" s="18">
        <f t="shared" si="3"/>
        <v>6071.6200000000008</v>
      </c>
    </row>
    <row r="39" spans="8:15" x14ac:dyDescent="0.3">
      <c r="N39" s="11" t="s">
        <v>25</v>
      </c>
      <c r="O39" s="18">
        <f t="shared" si="3"/>
        <v>5609.1399999999985</v>
      </c>
    </row>
  </sheetData>
  <mergeCells count="6">
    <mergeCell ref="B1:C1"/>
    <mergeCell ref="E1:F1"/>
    <mergeCell ref="H1:I1"/>
    <mergeCell ref="N1:O1"/>
    <mergeCell ref="Q1:R1"/>
    <mergeCell ref="T1:U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Data</vt:lpstr>
      <vt:lpstr>PVT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Kanyam</dc:creator>
  <cp:lastModifiedBy>John P</cp:lastModifiedBy>
  <dcterms:created xsi:type="dcterms:W3CDTF">2025-03-04T17:59:41Z</dcterms:created>
  <dcterms:modified xsi:type="dcterms:W3CDTF">2026-04-12T18:39:47Z</dcterms:modified>
</cp:coreProperties>
</file>