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hn.potts\Downloads\"/>
    </mc:Choice>
  </mc:AlternateContent>
  <bookViews>
    <workbookView xWindow="0" yWindow="0" windowWidth="31382" windowHeight="12722" activeTab="1"/>
  </bookViews>
  <sheets>
    <sheet name="Google Data" sheetId="2" r:id="rId1"/>
    <sheet name="Stocks Dashboard" sheetId="1" r:id="rId2"/>
    <sheet name="Helper" sheetId="3" r:id="rId3"/>
    <sheet name="NVDA" sheetId="4" r:id="rId4"/>
    <sheet name="DXCM" sheetId="5" r:id="rId5"/>
    <sheet name="MNDY" sheetId="6" r:id="rId6"/>
    <sheet name="STEM" sheetId="7" r:id="rId7"/>
    <sheet name="RUN" sheetId="8" r:id="rId8"/>
    <sheet name="BLDP" sheetId="9" r:id="rId9"/>
    <sheet name="EVGO" sheetId="10" r:id="rId10"/>
    <sheet name="COUR" sheetId="11" r:id="rId11"/>
    <sheet name="NNOX" sheetId="12" r:id="rId12"/>
    <sheet name="FSLY" sheetId="13" r:id="rId13"/>
    <sheet name="Pivot Data" sheetId="15" r:id="rId14"/>
    <sheet name="Ranking Performance" sheetId="14" r:id="rId15"/>
    <sheet name="Performance Graphs" sheetId="16" r:id="rId16"/>
  </sheets>
  <definedNames>
    <definedName name="ExternalData_1" localSheetId="0" hidden="1">'Google Data'!$A$1:$E$11</definedName>
  </definedNames>
  <calcPr calcId="162913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  <pivotCache cacheId="6" r:id="rId23"/>
    <pivotCache cacheId="7" r:id="rId24"/>
    <pivotCache cacheId="8" r:id="rId25"/>
    <pivotCache cacheId="9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4" l="1"/>
  <c r="F4" i="14"/>
  <c r="F5" i="14"/>
  <c r="F6" i="14"/>
  <c r="F7" i="14"/>
  <c r="F8" i="14"/>
  <c r="F9" i="14"/>
  <c r="F10" i="14"/>
  <c r="F11" i="14"/>
  <c r="F2" i="14"/>
  <c r="E25" i="4"/>
  <c r="E25" i="5"/>
  <c r="E25" i="6"/>
  <c r="E25" i="7"/>
  <c r="E25" i="8"/>
  <c r="E25" i="9"/>
  <c r="E25" i="10"/>
  <c r="E25" i="11"/>
  <c r="E25" i="12"/>
  <c r="E24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" i="13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" i="12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" i="1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" i="10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" i="9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" i="8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" i="6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" i="5"/>
  <c r="F10" i="4"/>
  <c r="F11" i="4"/>
  <c r="F12" i="4"/>
  <c r="F13" i="4"/>
  <c r="F14" i="4"/>
  <c r="F15" i="4"/>
  <c r="F16" i="4"/>
  <c r="F17" i="4"/>
  <c r="F18" i="4"/>
  <c r="F19" i="4"/>
  <c r="F20" i="4"/>
  <c r="F21" i="4"/>
  <c r="F2" i="4"/>
  <c r="F3" i="4"/>
  <c r="F4" i="4"/>
  <c r="F5" i="4"/>
  <c r="F6" i="4"/>
  <c r="F7" i="4"/>
  <c r="F8" i="4"/>
  <c r="F9" i="4"/>
  <c r="I7" i="1" l="1"/>
  <c r="J7" i="1" s="1"/>
  <c r="L7" i="1" s="1"/>
  <c r="M7" i="1" s="1"/>
  <c r="I8" i="1"/>
  <c r="J8" i="1" s="1"/>
  <c r="I9" i="1"/>
  <c r="J9" i="1" s="1"/>
  <c r="I10" i="1"/>
  <c r="J10" i="1" s="1"/>
  <c r="I11" i="1"/>
  <c r="J11" i="1" s="1"/>
  <c r="I12" i="1"/>
  <c r="J12" i="1" s="1"/>
  <c r="I3" i="1"/>
  <c r="J3" i="1" s="1"/>
  <c r="I4" i="1"/>
  <c r="J4" i="1" s="1"/>
  <c r="L4" i="1" s="1"/>
  <c r="M4" i="1" s="1"/>
  <c r="I5" i="1"/>
  <c r="J5" i="1" s="1"/>
  <c r="L5" i="1" s="1"/>
  <c r="M5" i="1" s="1"/>
  <c r="O4" i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H4" i="1"/>
  <c r="H5" i="1"/>
  <c r="H6" i="1"/>
  <c r="H7" i="1"/>
  <c r="H8" i="1"/>
  <c r="H9" i="1"/>
  <c r="H10" i="1"/>
  <c r="H11" i="1"/>
  <c r="H12" i="1"/>
  <c r="H3" i="1"/>
  <c r="I6" i="1"/>
  <c r="J6" i="1" s="1"/>
  <c r="G3" i="2"/>
  <c r="E4" i="1" s="1"/>
  <c r="G4" i="2"/>
  <c r="E5" i="1" s="1"/>
  <c r="G5" i="2"/>
  <c r="E6" i="1" s="1"/>
  <c r="G6" i="2"/>
  <c r="E7" i="1" s="1"/>
  <c r="G7" i="2"/>
  <c r="E8" i="1" s="1"/>
  <c r="G8" i="2"/>
  <c r="E9" i="1" s="1"/>
  <c r="G9" i="2"/>
  <c r="E10" i="1" s="1"/>
  <c r="G10" i="2"/>
  <c r="E11" i="1" s="1"/>
  <c r="G11" i="2"/>
  <c r="E12" i="1" s="1"/>
  <c r="G2" i="2"/>
  <c r="E3" i="1" s="1"/>
  <c r="C4" i="1"/>
  <c r="C5" i="1"/>
  <c r="C6" i="1"/>
  <c r="C7" i="1"/>
  <c r="C8" i="1"/>
  <c r="C9" i="1"/>
  <c r="C10" i="1"/>
  <c r="C11" i="1"/>
  <c r="C12" i="1"/>
  <c r="C3" i="1"/>
  <c r="B4" i="1"/>
  <c r="B5" i="1"/>
  <c r="B6" i="1"/>
  <c r="B7" i="1"/>
  <c r="B8" i="1"/>
  <c r="B9" i="1"/>
  <c r="B10" i="1"/>
  <c r="B11" i="1"/>
  <c r="B12" i="1"/>
  <c r="B3" i="1"/>
  <c r="L12" i="1" l="1"/>
  <c r="M12" i="1" s="1"/>
  <c r="L11" i="1"/>
  <c r="M11" i="1" s="1"/>
  <c r="L10" i="1"/>
  <c r="M10" i="1" s="1"/>
  <c r="L6" i="1"/>
  <c r="M6" i="1" s="1"/>
  <c r="H13" i="1"/>
  <c r="L3" i="1"/>
  <c r="M3" i="1" s="1"/>
  <c r="N13" i="1"/>
  <c r="L9" i="1"/>
  <c r="M9" i="1" s="1"/>
  <c r="L8" i="1"/>
  <c r="M8" i="1" s="1"/>
  <c r="J13" i="1"/>
  <c r="K7" i="1" s="1"/>
  <c r="L13" i="1" l="1"/>
  <c r="K6" i="1"/>
  <c r="K4" i="1"/>
  <c r="K12" i="1"/>
  <c r="K5" i="1"/>
  <c r="K3" i="1"/>
  <c r="K10" i="1"/>
  <c r="K11" i="1"/>
  <c r="K9" i="1"/>
  <c r="I6" i="3" s="1"/>
  <c r="K8" i="1"/>
  <c r="I4" i="3" l="1"/>
  <c r="C4" i="3"/>
  <c r="I3" i="3"/>
  <c r="C5" i="3"/>
  <c r="I5" i="3"/>
  <c r="C3" i="3"/>
  <c r="C6" i="3" l="1"/>
  <c r="I7" i="3"/>
</calcChain>
</file>

<file path=xl/connections.xml><?xml version="1.0" encoding="utf-8"?>
<connections xmlns="http://schemas.openxmlformats.org/spreadsheetml/2006/main">
  <connection id="1" keepAlive="1" interval="1" name="Query - Google Data" description="Connection to the 'Google Data' query in the workbook." type="5" refreshedVersion="6" background="1" refreshOnLoad="1" saveData="1">
    <dbPr connection="Provider=Microsoft.Mashup.OleDb.1;Data Source=$Workbook$;Location=Google Data;Extended Properties=&quot;&quot;" command="SELECT * FROM [Google Data]"/>
  </connection>
</connections>
</file>

<file path=xl/sharedStrings.xml><?xml version="1.0" encoding="utf-8"?>
<sst xmlns="http://schemas.openxmlformats.org/spreadsheetml/2006/main" count="925" uniqueCount="166">
  <si>
    <t>Column1</t>
  </si>
  <si>
    <t>Name</t>
  </si>
  <si>
    <t>Price</t>
  </si>
  <si>
    <t>Price Change</t>
  </si>
  <si>
    <t>Market Cap</t>
  </si>
  <si>
    <t>NVDA</t>
  </si>
  <si>
    <t>NVIDIA Corp</t>
  </si>
  <si>
    <t>DXCM</t>
  </si>
  <si>
    <t>DexCom Inc</t>
  </si>
  <si>
    <t>MNDY</t>
  </si>
  <si>
    <t>Monday.Com Ltd</t>
  </si>
  <si>
    <t>STEM</t>
  </si>
  <si>
    <t>Stem Inc</t>
  </si>
  <si>
    <t>RUN</t>
  </si>
  <si>
    <t>Sunrun Inc</t>
  </si>
  <si>
    <t>BLDP</t>
  </si>
  <si>
    <t>Ballard Power Systems Inc</t>
  </si>
  <si>
    <t>EVGO</t>
  </si>
  <si>
    <t>Evgo Inc</t>
  </si>
  <si>
    <t>COUR</t>
  </si>
  <si>
    <t>Coursera Inc</t>
  </si>
  <si>
    <t>NNOX</t>
  </si>
  <si>
    <t>Nano-X Imaging Ltd</t>
  </si>
  <si>
    <t>FSLY</t>
  </si>
  <si>
    <t>Fastly Inc</t>
  </si>
  <si>
    <t>Symbol</t>
  </si>
  <si>
    <t>Sector</t>
  </si>
  <si>
    <t>Cap
Size</t>
  </si>
  <si>
    <t># of
Shares</t>
  </si>
  <si>
    <t>Price Paid
Per Share</t>
  </si>
  <si>
    <t>Amount
Paid</t>
  </si>
  <si>
    <t>Current
Price</t>
  </si>
  <si>
    <t>Total
Value</t>
  </si>
  <si>
    <t>Allocation</t>
  </si>
  <si>
    <t>Total Gain/
(Loss) $</t>
  </si>
  <si>
    <t>Total Gain/
(Loss) %</t>
  </si>
  <si>
    <t>1 Day
Return $</t>
  </si>
  <si>
    <t>1 Day
Return %</t>
  </si>
  <si>
    <t>Technology</t>
  </si>
  <si>
    <t>Healthcare</t>
  </si>
  <si>
    <t>Renewable Energy</t>
  </si>
  <si>
    <t>Utilities</t>
  </si>
  <si>
    <t>Total</t>
  </si>
  <si>
    <t>Cap Size</t>
  </si>
  <si>
    <t>Small</t>
  </si>
  <si>
    <t>Mid</t>
  </si>
  <si>
    <t>Large</t>
  </si>
  <si>
    <t>Ticker Name</t>
  </si>
  <si>
    <t>Company</t>
  </si>
  <si>
    <t>Date</t>
  </si>
  <si>
    <t>Open</t>
  </si>
  <si>
    <t>Close</t>
  </si>
  <si>
    <t>% Change</t>
  </si>
  <si>
    <t>Notes</t>
  </si>
  <si>
    <t>NVIDIA Corporation</t>
  </si>
  <si>
    <t>GTC keynote day; Vera Rubin unveiled</t>
  </si>
  <si>
    <t>FOMC decision day</t>
  </si>
  <si>
    <t>Quad witching selloff</t>
  </si>
  <si>
    <t>Bounce from $172.70</t>
  </si>
  <si>
    <t>Sharp reversal</t>
  </si>
  <si>
    <t>Near period low</t>
  </si>
  <si>
    <t>Period Low</t>
  </si>
  <si>
    <t>Strong bounce</t>
  </si>
  <si>
    <t>Gap-up on ceasefire; opened +$6.40 above prior close</t>
  </si>
  <si>
    <t>CPI day; AI resilience</t>
  </si>
  <si>
    <t>Strong rally continues</t>
  </si>
  <si>
    <t>Period High &amp; Close</t>
  </si>
  <si>
    <t>Low: $165.17 (Mar 31) • High: $198.87 (Apr 16)</t>
  </si>
  <si>
    <t>DexCom Inc.</t>
  </si>
  <si>
    <t>Sharp selloff; broad market weakness</t>
  </si>
  <si>
    <t>Bounce</t>
  </si>
  <si>
    <t>Ceasefire rally; healthcare bid</t>
  </si>
  <si>
    <t>Hot CPI weighs on growth names</t>
  </si>
  <si>
    <t>Near Period Low</t>
  </si>
  <si>
    <t>Low: $61.54 (Apr 16) • High: $67.66 (Mar 18)</t>
  </si>
  <si>
    <t>monday.com Ltd.</t>
  </si>
  <si>
    <t>Agentalent.ai news fades; lawsuits gain traction</t>
  </si>
  <si>
    <r>
      <t>–7.4% from open.</t>
    </r>
    <r>
      <rPr>
        <sz val="10"/>
        <color rgb="FF000000"/>
        <rFont val="Calibri"/>
        <family val="2"/>
      </rPr>
      <t xml:space="preserve"> Class action filings accelerate</t>
    </r>
  </si>
  <si>
    <t>Stabilization attempt</t>
  </si>
  <si>
    <t>Continued selling</t>
  </si>
  <si>
    <t>Selling resumes</t>
  </si>
  <si>
    <t>Breakdown accelerates</t>
  </si>
  <si>
    <r>
      <t>Period Low.</t>
    </r>
    <r>
      <rPr>
        <sz val="10"/>
        <color rgb="FF000000"/>
        <rFont val="Calibri"/>
        <family val="2"/>
      </rPr>
      <t xml:space="preserve"> Below $60 for first time</t>
    </r>
  </si>
  <si>
    <t>Oversold bounce</t>
  </si>
  <si>
    <t>Bounce fades</t>
  </si>
  <si>
    <t>Partial recovery</t>
  </si>
  <si>
    <t>Low: $58.81 (Apr 11) • High: $75.28 (Mar 17). WORST PERFORMER.</t>
  </si>
  <si>
    <t>Stem Inc.</t>
  </si>
  <si>
    <t>Sharp selloff on quad witching</t>
  </si>
  <si>
    <t>Reversal</t>
  </si>
  <si>
    <t>Broad selloff</t>
  </si>
  <si>
    <t>Ceasefire rally; energy bid</t>
  </si>
  <si>
    <t>CPI pressure</t>
  </si>
  <si>
    <t>Clean energy momentum</t>
  </si>
  <si>
    <t>Low: $8.25 (Mar 31) • High: $10.90 (Mar 17)</t>
  </si>
  <si>
    <t>Sunrun Inc.</t>
  </si>
  <si>
    <t>FOMC reaction</t>
  </si>
  <si>
    <t>Sharp selloff</t>
  </si>
  <si>
    <t>Period High</t>
  </si>
  <si>
    <t>Ceasefire rally</t>
  </si>
  <si>
    <t>Continued fade</t>
  </si>
  <si>
    <t>Low: $12.10 (Apr 16) • High: $14.15 (Apr 2)</t>
  </si>
  <si>
    <t>Ballard Power Systems Inc.</t>
  </si>
  <si>
    <t>Strong open to period</t>
  </si>
  <si>
    <t>Ceasefire boost; hydrogen momentum</t>
  </si>
  <si>
    <t>Strong acceleration</t>
  </si>
  <si>
    <t>Pullback</t>
  </si>
  <si>
    <t>Resumes rally</t>
  </si>
  <si>
    <t>Period High. BEST PERFORMER.</t>
  </si>
  <si>
    <t>Low: $2.30 (Mar 31) • High: $3.07 (Apr 16). BEST PERFORMER.</t>
  </si>
  <si>
    <t>EVgo Inc.</t>
  </si>
  <si>
    <t>FOMC selloff</t>
  </si>
  <si>
    <t>EV infrastructure headlines</t>
  </si>
  <si>
    <t>Back above $2</t>
  </si>
  <si>
    <t>Low: $1.66 (Mar 31) • High: $2.11 (Mar 16)</t>
  </si>
  <si>
    <t>Coursera Inc.</t>
  </si>
  <si>
    <r>
      <t>–8.5% intraday drop.</t>
    </r>
    <r>
      <rPr>
        <sz val="10"/>
        <color rgb="FF000000"/>
        <rFont val="Calibri"/>
        <family val="2"/>
      </rPr>
      <t xml:space="preserve"> Possible downgrade</t>
    </r>
  </si>
  <si>
    <t>Recovery bounce</t>
  </si>
  <si>
    <t>Full recovery</t>
  </si>
  <si>
    <t>Low: $5.36 (Apr 11) • High: $6.15 (Apr 16)</t>
  </si>
  <si>
    <t>Nano-X Imaging Ltd.</t>
  </si>
  <si>
    <t>Full recovery to start price</t>
  </si>
  <si>
    <t>Low: $2.20 (Mar 31) • High: $2.60 (Mar 17). Flat.</t>
  </si>
  <si>
    <t>Fastly Inc.</t>
  </si>
  <si>
    <t>Strong open</t>
  </si>
  <si>
    <t>Massive surge</t>
  </si>
  <si>
    <t>Quad witching pressure</t>
  </si>
  <si>
    <t>Gap-up continuation</t>
  </si>
  <si>
    <t>Massive bounce</t>
  </si>
  <si>
    <t>Reversal begins</t>
  </si>
  <si>
    <t>Crash day. –21.7%</t>
  </si>
  <si>
    <t>Dead cat bounce</t>
  </si>
  <si>
    <t>Period Low. Continued crash.</t>
  </si>
  <si>
    <t>Low: $20.95 (Apr 15) • High: $33.50 (Apr 3). EXTREME volatility.</t>
  </si>
  <si>
    <t>Rank</t>
  </si>
  <si>
    <t>Start (Mar 16 Close)</t>
  </si>
  <si>
    <t>End (Apr 15 Close)</t>
  </si>
  <si>
    <t>Period Return</t>
  </si>
  <si>
    <t>Ballard Power Systems</t>
  </si>
  <si>
    <t>Nano-X Imaging</t>
  </si>
  <si>
    <r>
      <t>Period Start:</t>
    </r>
    <r>
      <rPr>
        <b/>
        <sz val="10"/>
        <color rgb="FF000000"/>
        <rFont val="Calibri"/>
        <family val="2"/>
      </rPr>
      <t xml:space="preserve"> </t>
    </r>
  </si>
  <si>
    <t>End:</t>
  </si>
  <si>
    <t>Pct Change</t>
  </si>
  <si>
    <t>17-Mar</t>
  </si>
  <si>
    <t>18-Mar</t>
  </si>
  <si>
    <t>19-Mar</t>
  </si>
  <si>
    <t>20-Mar</t>
  </si>
  <si>
    <t>24-Mar</t>
  </si>
  <si>
    <t>25-Mar</t>
  </si>
  <si>
    <t>26-Mar</t>
  </si>
  <si>
    <t>27-Mar</t>
  </si>
  <si>
    <t>31-Mar</t>
  </si>
  <si>
    <t>1-Apr</t>
  </si>
  <si>
    <t>2-Apr</t>
  </si>
  <si>
    <t>3-Apr</t>
  </si>
  <si>
    <t>7-Apr</t>
  </si>
  <si>
    <t>8-Apr</t>
  </si>
  <si>
    <t>9-Apr</t>
  </si>
  <si>
    <t>10-Apr</t>
  </si>
  <si>
    <t>11-Apr</t>
  </si>
  <si>
    <t>14-Apr</t>
  </si>
  <si>
    <t>15-Apr</t>
  </si>
  <si>
    <t>16-Apr</t>
  </si>
  <si>
    <t>Open Price</t>
  </si>
  <si>
    <t>Close Price</t>
  </si>
  <si>
    <t>Close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</si>
</sst>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</numFmts>
  <fonts count="15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0"/>
      <color rgb="FFFFFFFF"/>
      <name val="Calibri"/>
      <family val="2"/>
    </font>
    <font>
      <sz val="12"/>
      <color theme="1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1A7A2E"/>
      <name val="Calibri"/>
      <family val="2"/>
    </font>
    <font>
      <sz val="10"/>
      <color rgb="FF000000"/>
      <name val="Calibri"/>
      <family val="2"/>
    </font>
    <font>
      <b/>
      <sz val="10"/>
      <color rgb="FFCC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EF7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/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 style="medium">
        <color rgb="FFE5E7EB"/>
      </bottom>
      <diagonal/>
    </border>
    <border>
      <left/>
      <right style="medium">
        <color rgb="FFE5E7EB"/>
      </right>
      <top/>
      <bottom style="medium">
        <color rgb="FFE5E7EB"/>
      </bottom>
      <diagonal/>
    </border>
    <border>
      <left/>
      <right/>
      <top/>
      <bottom style="medium">
        <color rgb="FFE5E7EB"/>
      </bottom>
      <diagonal/>
    </border>
    <border>
      <left style="medium">
        <color rgb="FFE5E7EB"/>
      </left>
      <right/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/>
      <top/>
      <bottom/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89">
    <xf numFmtId="0" fontId="0" fillId="0" borderId="0" xfId="0"/>
    <xf numFmtId="44" fontId="0" fillId="0" borderId="0" xfId="1" applyFont="1"/>
    <xf numFmtId="44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5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0" fillId="3" borderId="1" xfId="0" applyFill="1" applyBorder="1"/>
    <xf numFmtId="0" fontId="0" fillId="3" borderId="2" xfId="0" applyFill="1" applyBorder="1"/>
    <xf numFmtId="0" fontId="0" fillId="4" borderId="2" xfId="0" applyFill="1" applyBorder="1"/>
    <xf numFmtId="44" fontId="0" fillId="3" borderId="2" xfId="1" applyFont="1" applyFill="1" applyBorder="1"/>
    <xf numFmtId="164" fontId="0" fillId="4" borderId="2" xfId="1" applyNumberFormat="1" applyFont="1" applyFill="1" applyBorder="1"/>
    <xf numFmtId="10" fontId="0" fillId="4" borderId="2" xfId="2" applyNumberFormat="1" applyFont="1" applyFill="1" applyBorder="1"/>
    <xf numFmtId="10" fontId="0" fillId="4" borderId="3" xfId="2" applyNumberFormat="1" applyFont="1" applyFill="1" applyBorder="1"/>
    <xf numFmtId="0" fontId="0" fillId="3" borderId="7" xfId="0" applyFill="1" applyBorder="1"/>
    <xf numFmtId="0" fontId="0" fillId="3" borderId="0" xfId="0" applyFill="1"/>
    <xf numFmtId="0" fontId="0" fillId="4" borderId="0" xfId="0" applyFill="1"/>
    <xf numFmtId="44" fontId="0" fillId="3" borderId="0" xfId="1" applyFont="1" applyFill="1" applyBorder="1"/>
    <xf numFmtId="164" fontId="0" fillId="4" borderId="0" xfId="1" applyNumberFormat="1" applyFont="1" applyFill="1" applyBorder="1"/>
    <xf numFmtId="44" fontId="0" fillId="4" borderId="0" xfId="1" applyFont="1" applyFill="1" applyBorder="1"/>
    <xf numFmtId="10" fontId="0" fillId="4" borderId="0" xfId="2" applyNumberFormat="1" applyFont="1" applyFill="1" applyBorder="1"/>
    <xf numFmtId="10" fontId="0" fillId="4" borderId="8" xfId="2" applyNumberFormat="1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4" borderId="10" xfId="0" applyFill="1" applyBorder="1"/>
    <xf numFmtId="44" fontId="0" fillId="3" borderId="10" xfId="1" applyFont="1" applyFill="1" applyBorder="1"/>
    <xf numFmtId="164" fontId="0" fillId="4" borderId="10" xfId="1" applyNumberFormat="1" applyFont="1" applyFill="1" applyBorder="1"/>
    <xf numFmtId="10" fontId="0" fillId="4" borderId="10" xfId="2" applyNumberFormat="1" applyFont="1" applyFill="1" applyBorder="1"/>
    <xf numFmtId="10" fontId="0" fillId="4" borderId="11" xfId="2" applyNumberFormat="1" applyFont="1" applyFill="1" applyBorder="1"/>
    <xf numFmtId="0" fontId="3" fillId="0" borderId="4" xfId="0" applyFont="1" applyBorder="1"/>
    <xf numFmtId="0" fontId="3" fillId="0" borderId="5" xfId="0" applyFont="1" applyBorder="1"/>
    <xf numFmtId="164" fontId="3" fillId="0" borderId="5" xfId="0" applyNumberFormat="1" applyFont="1" applyBorder="1"/>
    <xf numFmtId="0" fontId="3" fillId="0" borderId="6" xfId="0" applyFont="1" applyBorder="1"/>
    <xf numFmtId="0" fontId="0" fillId="0" borderId="8" xfId="0" applyBorder="1"/>
    <xf numFmtId="44" fontId="0" fillId="0" borderId="0" xfId="1" applyNumberFormat="1" applyFont="1"/>
    <xf numFmtId="0" fontId="1" fillId="0" borderId="0" xfId="3"/>
    <xf numFmtId="0" fontId="5" fillId="0" borderId="0" xfId="3" applyFont="1" applyAlignment="1">
      <alignment vertical="center"/>
    </xf>
    <xf numFmtId="0" fontId="1" fillId="0" borderId="0" xfId="3" applyAlignment="1">
      <alignment horizontal="left"/>
    </xf>
    <xf numFmtId="16" fontId="9" fillId="0" borderId="14" xfId="3" applyNumberFormat="1" applyFont="1" applyBorder="1" applyAlignment="1">
      <alignment vertical="center" wrapText="1"/>
    </xf>
    <xf numFmtId="8" fontId="9" fillId="0" borderId="15" xfId="3" applyNumberFormat="1" applyFont="1" applyBorder="1" applyAlignment="1">
      <alignment vertical="center" wrapText="1"/>
    </xf>
    <xf numFmtId="0" fontId="10" fillId="0" borderId="16" xfId="3" applyFont="1" applyBorder="1" applyAlignment="1">
      <alignment vertical="center" wrapText="1"/>
    </xf>
    <xf numFmtId="0" fontId="6" fillId="0" borderId="15" xfId="3" applyFont="1" applyBorder="1" applyAlignment="1">
      <alignment vertical="center" wrapText="1"/>
    </xf>
    <xf numFmtId="0" fontId="6" fillId="5" borderId="14" xfId="3" applyFont="1" applyFill="1" applyBorder="1" applyAlignment="1">
      <alignment vertical="center" wrapText="1"/>
    </xf>
    <xf numFmtId="0" fontId="6" fillId="5" borderId="15" xfId="3" applyFont="1" applyFill="1" applyBorder="1" applyAlignment="1">
      <alignment vertical="center" wrapText="1"/>
    </xf>
    <xf numFmtId="10" fontId="8" fillId="0" borderId="16" xfId="3" applyNumberFormat="1" applyFont="1" applyBorder="1" applyAlignment="1">
      <alignment vertical="center" wrapText="1"/>
    </xf>
    <xf numFmtId="0" fontId="5" fillId="0" borderId="15" xfId="3" applyFont="1" applyBorder="1" applyAlignment="1">
      <alignment vertical="center" wrapText="1"/>
    </xf>
    <xf numFmtId="0" fontId="9" fillId="0" borderId="15" xfId="3" applyFont="1" applyBorder="1" applyAlignment="1">
      <alignment vertical="center" wrapText="1"/>
    </xf>
    <xf numFmtId="0" fontId="4" fillId="6" borderId="12" xfId="3" applyFont="1" applyFill="1" applyBorder="1" applyAlignment="1">
      <alignment vertical="center" wrapText="1"/>
    </xf>
    <xf numFmtId="14" fontId="4" fillId="6" borderId="12" xfId="3" applyNumberFormat="1" applyFont="1" applyFill="1" applyBorder="1" applyAlignment="1">
      <alignment horizontal="left" vertical="center" wrapText="1"/>
    </xf>
    <xf numFmtId="0" fontId="4" fillId="6" borderId="13" xfId="3" applyFont="1" applyFill="1" applyBorder="1" applyAlignment="1">
      <alignment horizontal="left" vertical="center" wrapText="1"/>
    </xf>
    <xf numFmtId="0" fontId="4" fillId="6" borderId="13" xfId="3" applyFont="1" applyFill="1" applyBorder="1" applyAlignment="1">
      <alignment vertical="center" wrapText="1"/>
    </xf>
    <xf numFmtId="14" fontId="4" fillId="6" borderId="12" xfId="3" applyNumberFormat="1" applyFont="1" applyFill="1" applyBorder="1" applyAlignment="1">
      <alignment vertical="center" wrapText="1"/>
    </xf>
    <xf numFmtId="0" fontId="4" fillId="6" borderId="12" xfId="3" applyFont="1" applyFill="1" applyBorder="1" applyAlignment="1">
      <alignment horizontal="left" vertical="center" wrapText="1"/>
    </xf>
    <xf numFmtId="10" fontId="5" fillId="0" borderId="0" xfId="2" applyNumberFormat="1" applyFont="1" applyAlignment="1">
      <alignment horizontal="left" vertical="center"/>
    </xf>
    <xf numFmtId="9" fontId="1" fillId="0" borderId="0" xfId="2" applyFont="1"/>
    <xf numFmtId="10" fontId="8" fillId="7" borderId="15" xfId="3" applyNumberFormat="1" applyFont="1" applyFill="1" applyBorder="1" applyAlignment="1">
      <alignment vertical="center" wrapText="1"/>
    </xf>
    <xf numFmtId="10" fontId="11" fillId="0" borderId="0" xfId="2" applyNumberFormat="1" applyFont="1" applyAlignment="1">
      <alignment horizontal="left" vertical="center"/>
    </xf>
    <xf numFmtId="0" fontId="6" fillId="7" borderId="14" xfId="3" applyFont="1" applyFill="1" applyBorder="1" applyAlignment="1">
      <alignment vertical="center" wrapText="1"/>
    </xf>
    <xf numFmtId="0" fontId="6" fillId="7" borderId="15" xfId="3" applyFont="1" applyFill="1" applyBorder="1" applyAlignment="1">
      <alignment vertical="center" wrapText="1"/>
    </xf>
    <xf numFmtId="0" fontId="10" fillId="7" borderId="15" xfId="3" applyFont="1" applyFill="1" applyBorder="1" applyAlignment="1">
      <alignment vertical="center" wrapText="1"/>
    </xf>
    <xf numFmtId="0" fontId="6" fillId="8" borderId="14" xfId="0" applyFont="1" applyFill="1" applyBorder="1" applyAlignment="1">
      <alignment vertical="center" wrapText="1"/>
    </xf>
    <xf numFmtId="0" fontId="6" fillId="8" borderId="15" xfId="0" applyFont="1" applyFill="1" applyBorder="1" applyAlignment="1">
      <alignment vertical="center" wrapText="1"/>
    </xf>
    <xf numFmtId="0" fontId="6" fillId="7" borderId="12" xfId="3" applyFont="1" applyFill="1" applyBorder="1" applyAlignment="1">
      <alignment vertical="center" wrapText="1"/>
    </xf>
    <xf numFmtId="0" fontId="6" fillId="7" borderId="13" xfId="3" applyFont="1" applyFill="1" applyBorder="1" applyAlignment="1">
      <alignment vertical="center" wrapText="1"/>
    </xf>
    <xf numFmtId="10" fontId="8" fillId="7" borderId="13" xfId="3" applyNumberFormat="1" applyFont="1" applyFill="1" applyBorder="1" applyAlignment="1">
      <alignment vertical="center" wrapText="1"/>
    </xf>
    <xf numFmtId="0" fontId="11" fillId="0" borderId="0" xfId="3" applyFont="1" applyAlignment="1">
      <alignment vertical="center"/>
    </xf>
    <xf numFmtId="14" fontId="11" fillId="0" borderId="0" xfId="3" applyNumberFormat="1" applyFont="1" applyAlignment="1">
      <alignment horizontal="left" vertical="center"/>
    </xf>
    <xf numFmtId="165" fontId="11" fillId="0" borderId="0" xfId="3" applyNumberFormat="1" applyFont="1" applyAlignment="1">
      <alignment horizontal="left"/>
    </xf>
    <xf numFmtId="165" fontId="11" fillId="0" borderId="0" xfId="3" applyNumberFormat="1" applyFont="1" applyAlignment="1">
      <alignment horizontal="left" vertical="center"/>
    </xf>
    <xf numFmtId="10" fontId="12" fillId="0" borderId="0" xfId="2" applyNumberFormat="1" applyFont="1" applyAlignment="1">
      <alignment horizontal="left" vertical="center"/>
    </xf>
    <xf numFmtId="165" fontId="12" fillId="0" borderId="0" xfId="3" applyNumberFormat="1" applyFont="1" applyAlignment="1">
      <alignment horizontal="left"/>
    </xf>
    <xf numFmtId="14" fontId="11" fillId="0" borderId="0" xfId="3" applyNumberFormat="1" applyFont="1" applyAlignment="1">
      <alignment vertical="center"/>
    </xf>
    <xf numFmtId="165" fontId="13" fillId="0" borderId="0" xfId="0" applyNumberFormat="1" applyFont="1" applyAlignment="1">
      <alignment horizontal="left"/>
    </xf>
    <xf numFmtId="165" fontId="14" fillId="0" borderId="0" xfId="0" applyNumberFormat="1" applyFont="1" applyAlignment="1">
      <alignment horizontal="left"/>
    </xf>
    <xf numFmtId="165" fontId="11" fillId="0" borderId="0" xfId="1" applyNumberFormat="1" applyFont="1" applyAlignment="1">
      <alignment horizontal="left" vertical="center"/>
    </xf>
    <xf numFmtId="0" fontId="12" fillId="0" borderId="0" xfId="3" applyFont="1" applyAlignment="1">
      <alignment vertical="center"/>
    </xf>
    <xf numFmtId="0" fontId="12" fillId="0" borderId="0" xfId="3" applyFont="1"/>
    <xf numFmtId="0" fontId="14" fillId="0" borderId="14" xfId="3" applyFont="1" applyBorder="1" applyAlignment="1">
      <alignment horizontal="left" vertical="center" wrapText="1"/>
    </xf>
    <xf numFmtId="0" fontId="14" fillId="0" borderId="15" xfId="3" applyFont="1" applyBorder="1" applyAlignment="1">
      <alignment horizontal="left" vertical="center" wrapText="1"/>
    </xf>
    <xf numFmtId="0" fontId="0" fillId="0" borderId="0" xfId="0" pivotButton="1"/>
    <xf numFmtId="14" fontId="0" fillId="0" borderId="0" xfId="0" applyNumberFormat="1" applyAlignment="1">
      <alignment horizontal="left"/>
    </xf>
    <xf numFmtId="165" fontId="0" fillId="0" borderId="0" xfId="0" applyNumberFormat="1"/>
    <xf numFmtId="0" fontId="7" fillId="5" borderId="18" xfId="3" applyFont="1" applyFill="1" applyBorder="1" applyAlignment="1">
      <alignment horizontal="left" vertical="center" wrapText="1"/>
    </xf>
    <xf numFmtId="0" fontId="7" fillId="5" borderId="0" xfId="3" applyFont="1" applyFill="1" applyBorder="1" applyAlignment="1">
      <alignment horizontal="left" vertical="center" wrapText="1"/>
    </xf>
    <xf numFmtId="0" fontId="7" fillId="5" borderId="17" xfId="3" applyFont="1" applyFill="1" applyBorder="1" applyAlignment="1">
      <alignment vertical="center" wrapText="1"/>
    </xf>
    <xf numFmtId="0" fontId="7" fillId="5" borderId="13" xfId="3" applyFont="1" applyFill="1" applyBorder="1" applyAlignment="1">
      <alignment vertical="center" wrapText="1"/>
    </xf>
    <xf numFmtId="0" fontId="0" fillId="0" borderId="0" xfId="0" applyAlignment="1">
      <alignment horizontal="center"/>
    </xf>
  </cellXfs>
  <cellStyles count="4">
    <cellStyle name="Currency" xfId="1" builtinId="4"/>
    <cellStyle name="Normal" xfId="0" builtinId="0"/>
    <cellStyle name="Normal 2" xfId="3"/>
    <cellStyle name="Percent" xfId="2" builtinId="5"/>
  </cellStyles>
  <dxfs count="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4" formatCode="_(&quot;$&quot;* #,##0.00_);_(&quot;$&quot;* \(#,##0.00\);_(&quot;$&quot;* &quot;-&quot;??_);_(@_)"/>
    </dxf>
    <dxf>
      <font>
        <color theme="9"/>
      </font>
    </dxf>
    <dxf>
      <font>
        <color rgb="FF9C0006"/>
      </font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numFmt numFmtId="14" formatCode="0.00%"/>
    </dxf>
    <dxf>
      <numFmt numFmtId="166" formatCode="0.0%"/>
    </dxf>
    <dxf>
      <numFmt numFmtId="13" formatCode="0%"/>
    </dxf>
    <dxf>
      <numFmt numFmtId="165" formatCode="&quot;$&quot;#,##0.00"/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ivotCacheDefinition" Target="pivotCache/pivotCacheDefinition1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pivotCacheDefinition" Target="pivotCache/pivotCacheDefinition9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8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7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Portfolio Allocation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CF2-4E52-9B1B-27B27637E99D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F2-4E52-9B1B-27B27637E99D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CF2-4E52-9B1B-27B27637E99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F2-4E52-9B1B-27B27637E99D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CF2-4E52-9B1B-27B27637E99D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F2-4E52-9B1B-27B27637E99D}"/>
              </c:ext>
            </c:extLst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F2-4E52-9B1B-27B27637E99D}"/>
              </c:ext>
            </c:extLst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CF2-4E52-9B1B-27B27637E99D}"/>
              </c:ext>
            </c:extLst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F2-4E52-9B1B-27B27637E99D}"/>
              </c:ext>
            </c:extLst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5CF2-4E52-9B1B-27B27637E99D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CF2-4E52-9B1B-27B27637E99D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CF2-4E52-9B1B-27B27637E99D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CF2-4E52-9B1B-27B27637E99D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CF2-4E52-9B1B-27B27637E99D}"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5CF2-4E52-9B1B-27B27637E99D}"/>
                </c:ext>
              </c:extLst>
            </c:dLbl>
            <c:dLbl>
              <c:idx val="5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5CF2-4E52-9B1B-27B27637E99D}"/>
                </c:ext>
              </c:extLst>
            </c:dLbl>
            <c:dLbl>
              <c:idx val="6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CF2-4E52-9B1B-27B27637E99D}"/>
                </c:ext>
              </c:extLst>
            </c:dLbl>
            <c:dLbl>
              <c:idx val="7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5CF2-4E52-9B1B-27B27637E99D}"/>
                </c:ext>
              </c:extLst>
            </c:dLbl>
            <c:dLbl>
              <c:idx val="8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5CF2-4E52-9B1B-27B27637E99D}"/>
                </c:ext>
              </c:extLst>
            </c:dLbl>
            <c:dLbl>
              <c:idx val="9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5CF2-4E52-9B1B-27B27637E9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 -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'Stocks Dashboard'!$B$3:$B$12</c:f>
              <c:strCache>
                <c:ptCount val="10"/>
                <c:pt idx="0">
                  <c:v>NVDA</c:v>
                </c:pt>
                <c:pt idx="1">
                  <c:v>DXCM</c:v>
                </c:pt>
                <c:pt idx="2">
                  <c:v>MNDY</c:v>
                </c:pt>
                <c:pt idx="3">
                  <c:v>STEM</c:v>
                </c:pt>
                <c:pt idx="4">
                  <c:v>RUN</c:v>
                </c:pt>
                <c:pt idx="5">
                  <c:v>BLDP</c:v>
                </c:pt>
                <c:pt idx="6">
                  <c:v>EVGO</c:v>
                </c:pt>
                <c:pt idx="7">
                  <c:v>COUR</c:v>
                </c:pt>
                <c:pt idx="8">
                  <c:v>NNOX</c:v>
                </c:pt>
                <c:pt idx="9">
                  <c:v>FSLY</c:v>
                </c:pt>
              </c:strCache>
            </c:strRef>
          </c:cat>
          <c:val>
            <c:numRef>
              <c:f>'Stocks Dashboard'!$K$3:$K$12</c:f>
              <c:numCache>
                <c:formatCode>0.00%</c:formatCode>
                <c:ptCount val="10"/>
                <c:pt idx="0">
                  <c:v>0.27571875238313126</c:v>
                </c:pt>
                <c:pt idx="1">
                  <c:v>0.1087216248506571</c:v>
                </c:pt>
                <c:pt idx="2">
                  <c:v>0.38355067490276823</c:v>
                </c:pt>
                <c:pt idx="3">
                  <c:v>3.5994814306413485E-2</c:v>
                </c:pt>
                <c:pt idx="4">
                  <c:v>2.8902615724853198E-2</c:v>
                </c:pt>
                <c:pt idx="5">
                  <c:v>1.5557080759551589E-2</c:v>
                </c:pt>
                <c:pt idx="6">
                  <c:v>1.1184829304252778E-2</c:v>
                </c:pt>
                <c:pt idx="7">
                  <c:v>5.165357533236737E-2</c:v>
                </c:pt>
                <c:pt idx="8">
                  <c:v>4.3722514552988131E-3</c:v>
                </c:pt>
                <c:pt idx="9">
                  <c:v>8.4343780980706176E-2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2-4E52-9B1B-27B27637E99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Cap Size Allocation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51-4A74-984B-412985759AB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51-4A74-984B-412985759AB7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51-4A74-984B-412985759AB7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451-4A74-984B-412985759AB7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451-4A74-984B-412985759AB7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451-4A74-984B-412985759A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Helper!$B$3:$B$5</c:f>
              <c:strCache>
                <c:ptCount val="3"/>
                <c:pt idx="0">
                  <c:v>Small</c:v>
                </c:pt>
                <c:pt idx="1">
                  <c:v>Mid</c:v>
                </c:pt>
                <c:pt idx="2">
                  <c:v>Large</c:v>
                </c:pt>
              </c:strCache>
            </c:strRef>
          </c:cat>
          <c:val>
            <c:numRef>
              <c:f>Helper!$C$3:$C$5</c:f>
              <c:numCache>
                <c:formatCode>0.00%</c:formatCode>
                <c:ptCount val="3"/>
                <c:pt idx="0">
                  <c:v>0.14766516688273726</c:v>
                </c:pt>
                <c:pt idx="1">
                  <c:v>0.46789445588347439</c:v>
                </c:pt>
                <c:pt idx="2">
                  <c:v>0.38444037723378838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451-4A74-984B-412985759AB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Sector Allocation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15-42FD-8B66-0611911441E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15-42FD-8B66-0611911441E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15-42FD-8B66-0611911441EC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15-42FD-8B66-0611911441EC}"/>
              </c:ext>
            </c:extLst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B15-42FD-8B66-0611911441EC}"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B15-42FD-8B66-0611911441EC}"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7B15-42FD-8B66-0611911441EC}"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7B15-42FD-8B66-0611911441E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Helper!$H$3:$H$6</c:f>
              <c:strCache>
                <c:ptCount val="4"/>
                <c:pt idx="0">
                  <c:v>Technology</c:v>
                </c:pt>
                <c:pt idx="1">
                  <c:v>Healthcare</c:v>
                </c:pt>
                <c:pt idx="2">
                  <c:v>Renewable Energy</c:v>
                </c:pt>
                <c:pt idx="3">
                  <c:v>Utilities</c:v>
                </c:pt>
              </c:strCache>
            </c:strRef>
          </c:cat>
          <c:val>
            <c:numRef>
              <c:f>Helper!$I$3:$I$6</c:f>
              <c:numCache>
                <c:formatCode>0.00%</c:formatCode>
                <c:ptCount val="4"/>
                <c:pt idx="0">
                  <c:v>0.79526678359897296</c:v>
                </c:pt>
                <c:pt idx="1">
                  <c:v>0.11309387630595591</c:v>
                </c:pt>
                <c:pt idx="2">
                  <c:v>8.0454510790818279E-2</c:v>
                </c:pt>
                <c:pt idx="3">
                  <c:v>1.1184829304252778E-2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B15-42FD-8B66-0611911441E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FSLY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Data'!$B$3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Data'!$A$4:$A$23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Data'!$B$4:$B$23</c:f>
              <c:numCache>
                <c:formatCode>"$"#,##0.00</c:formatCode>
                <c:ptCount val="20"/>
                <c:pt idx="0">
                  <c:v>22.27</c:v>
                </c:pt>
                <c:pt idx="1">
                  <c:v>24.03</c:v>
                </c:pt>
                <c:pt idx="2">
                  <c:v>26.57</c:v>
                </c:pt>
                <c:pt idx="3">
                  <c:v>26.48</c:v>
                </c:pt>
                <c:pt idx="4">
                  <c:v>28.55</c:v>
                </c:pt>
                <c:pt idx="5">
                  <c:v>29.47</c:v>
                </c:pt>
                <c:pt idx="6">
                  <c:v>29.5</c:v>
                </c:pt>
                <c:pt idx="7">
                  <c:v>28.1</c:v>
                </c:pt>
                <c:pt idx="8">
                  <c:v>28.43</c:v>
                </c:pt>
                <c:pt idx="9">
                  <c:v>26.08</c:v>
                </c:pt>
                <c:pt idx="10">
                  <c:v>29.98</c:v>
                </c:pt>
                <c:pt idx="11">
                  <c:v>30.8</c:v>
                </c:pt>
                <c:pt idx="12">
                  <c:v>33.94</c:v>
                </c:pt>
                <c:pt idx="13">
                  <c:v>31.63</c:v>
                </c:pt>
                <c:pt idx="14">
                  <c:v>34.049999999999997</c:v>
                </c:pt>
                <c:pt idx="15">
                  <c:v>32.74</c:v>
                </c:pt>
                <c:pt idx="16">
                  <c:v>30.02</c:v>
                </c:pt>
                <c:pt idx="17">
                  <c:v>23.1</c:v>
                </c:pt>
                <c:pt idx="18">
                  <c:v>24.52</c:v>
                </c:pt>
                <c:pt idx="19">
                  <c:v>21.76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1D-4DA7-8DC7-2FE715060A34}"/>
            </c:ext>
          </c:extLst>
        </c:ser>
        <c:ser>
          <c:idx val="1"/>
          <c:order val="1"/>
          <c:tx>
            <c:strRef>
              <c:f>'Pivot Data'!$C$3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Data'!$A$4:$A$23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Data'!$C$4:$C$23</c:f>
              <c:numCache>
                <c:formatCode>"$"#,##0.00</c:formatCode>
                <c:ptCount val="20"/>
                <c:pt idx="0">
                  <c:v>24.18</c:v>
                </c:pt>
                <c:pt idx="1">
                  <c:v>26.88</c:v>
                </c:pt>
                <c:pt idx="2">
                  <c:v>26.45</c:v>
                </c:pt>
                <c:pt idx="3">
                  <c:v>25.2</c:v>
                </c:pt>
                <c:pt idx="4">
                  <c:v>28.2</c:v>
                </c:pt>
                <c:pt idx="5">
                  <c:v>29.79</c:v>
                </c:pt>
                <c:pt idx="6">
                  <c:v>28.59</c:v>
                </c:pt>
                <c:pt idx="7">
                  <c:v>27.43</c:v>
                </c:pt>
                <c:pt idx="8">
                  <c:v>25.52</c:v>
                </c:pt>
                <c:pt idx="9">
                  <c:v>29.06</c:v>
                </c:pt>
                <c:pt idx="10">
                  <c:v>32.36</c:v>
                </c:pt>
                <c:pt idx="11">
                  <c:v>33.5</c:v>
                </c:pt>
                <c:pt idx="12">
                  <c:v>31.54</c:v>
                </c:pt>
                <c:pt idx="13">
                  <c:v>31.6</c:v>
                </c:pt>
                <c:pt idx="14">
                  <c:v>32.75</c:v>
                </c:pt>
                <c:pt idx="15">
                  <c:v>29.46</c:v>
                </c:pt>
                <c:pt idx="16">
                  <c:v>23.07</c:v>
                </c:pt>
                <c:pt idx="17">
                  <c:v>24.37</c:v>
                </c:pt>
                <c:pt idx="18">
                  <c:v>20.95</c:v>
                </c:pt>
                <c:pt idx="19">
                  <c:v>23.38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1D-4DA7-8DC7-2FE715060A34}"/>
            </c:ext>
          </c:extLst>
        </c:ser>
        <c:ser>
          <c:idx val="2"/>
          <c:order val="2"/>
          <c:tx>
            <c:strRef>
              <c:f>'Pivot Data'!$D$3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Data'!$A$4:$A$23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Data'!$D$4:$D$23</c:f>
              <c:numCache>
                <c:formatCode>0.00%</c:formatCode>
                <c:ptCount val="20"/>
                <c:pt idx="0">
                  <c:v>8.5765603951504274E-2</c:v>
                </c:pt>
                <c:pt idx="1">
                  <c:v>0.11860174781523086</c:v>
                </c:pt>
                <c:pt idx="2">
                  <c:v>-4.5163718479488517E-3</c:v>
                </c:pt>
                <c:pt idx="3">
                  <c:v>-4.8338368580060465E-2</c:v>
                </c:pt>
                <c:pt idx="4">
                  <c:v>-1.2259194395796896E-2</c:v>
                </c:pt>
                <c:pt idx="5">
                  <c:v>1.0858500169664075E-2</c:v>
                </c:pt>
                <c:pt idx="6">
                  <c:v>-3.084745762711865E-2</c:v>
                </c:pt>
                <c:pt idx="7">
                  <c:v>-2.3843416370106819E-2</c:v>
                </c:pt>
                <c:pt idx="8">
                  <c:v>-0.10235666549419628</c:v>
                </c:pt>
                <c:pt idx="9">
                  <c:v>0.11426380368098162</c:v>
                </c:pt>
                <c:pt idx="10">
                  <c:v>7.9386257505003305E-2</c:v>
                </c:pt>
                <c:pt idx="11">
                  <c:v>8.7662337662337636E-2</c:v>
                </c:pt>
                <c:pt idx="12">
                  <c:v>-7.0713022981732432E-2</c:v>
                </c:pt>
                <c:pt idx="13">
                  <c:v>-9.4846664558955374E-4</c:v>
                </c:pt>
                <c:pt idx="14">
                  <c:v>-3.8179148311306824E-2</c:v>
                </c:pt>
                <c:pt idx="15">
                  <c:v>-0.10018326206475263</c:v>
                </c:pt>
                <c:pt idx="16">
                  <c:v>-0.23151232511658892</c:v>
                </c:pt>
                <c:pt idx="17">
                  <c:v>5.497835497835496E-2</c:v>
                </c:pt>
                <c:pt idx="18">
                  <c:v>-0.14559543230016314</c:v>
                </c:pt>
                <c:pt idx="19">
                  <c:v>7.444852941176458E-2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1D-4DA7-8DC7-2FE715060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018648"/>
        <c:axId val="619019960"/>
      </c:lineChart>
      <c:catAx>
        <c:axId val="619018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19960"/>
        <c:crosses val="autoZero"/>
        <c:auto val="1"/>
        <c:lblAlgn val="ctr"/>
        <c:lblOffset val="100"/>
        <c:noMultiLvlLbl val="0"/>
      </c:catAx>
      <c:valAx>
        <c:axId val="619019960"/>
        <c:scaling>
          <c:orientation val="minMax"/>
          <c:min val="0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1864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NNOX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Data'!$H$3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Data'!$G$4:$G$23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Data'!$H$4:$H$23</c:f>
              <c:numCache>
                <c:formatCode>"$"#,##0.00</c:formatCode>
                <c:ptCount val="20"/>
                <c:pt idx="0">
                  <c:v>2.57</c:v>
                </c:pt>
                <c:pt idx="1">
                  <c:v>2.56</c:v>
                </c:pt>
                <c:pt idx="2">
                  <c:v>2.42</c:v>
                </c:pt>
                <c:pt idx="3">
                  <c:v>2.5</c:v>
                </c:pt>
                <c:pt idx="4">
                  <c:v>2.4</c:v>
                </c:pt>
                <c:pt idx="5">
                  <c:v>2.42</c:v>
                </c:pt>
                <c:pt idx="6">
                  <c:v>2.27</c:v>
                </c:pt>
                <c:pt idx="7">
                  <c:v>2.2799999999999998</c:v>
                </c:pt>
                <c:pt idx="8">
                  <c:v>2.2200000000000002</c:v>
                </c:pt>
                <c:pt idx="9">
                  <c:v>2.2000000000000002</c:v>
                </c:pt>
                <c:pt idx="10">
                  <c:v>2.34</c:v>
                </c:pt>
                <c:pt idx="11">
                  <c:v>2.37</c:v>
                </c:pt>
                <c:pt idx="12">
                  <c:v>2.44</c:v>
                </c:pt>
                <c:pt idx="13">
                  <c:v>2.35</c:v>
                </c:pt>
                <c:pt idx="14">
                  <c:v>2.41</c:v>
                </c:pt>
                <c:pt idx="15">
                  <c:v>2.31</c:v>
                </c:pt>
                <c:pt idx="16">
                  <c:v>2.34</c:v>
                </c:pt>
                <c:pt idx="17">
                  <c:v>2.29</c:v>
                </c:pt>
                <c:pt idx="18">
                  <c:v>2.4500000000000002</c:v>
                </c:pt>
                <c:pt idx="19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3-409B-A659-F7215550C313}"/>
            </c:ext>
          </c:extLst>
        </c:ser>
        <c:ser>
          <c:idx val="1"/>
          <c:order val="1"/>
          <c:tx>
            <c:strRef>
              <c:f>'Pivot Data'!$I$3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Data'!$G$4:$G$23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Data'!$I$4:$I$23</c:f>
              <c:numCache>
                <c:formatCode>"$"#,##0.00</c:formatCode>
                <c:ptCount val="20"/>
                <c:pt idx="0">
                  <c:v>2.6</c:v>
                </c:pt>
                <c:pt idx="1">
                  <c:v>2.46</c:v>
                </c:pt>
                <c:pt idx="2">
                  <c:v>2.5099999999999998</c:v>
                </c:pt>
                <c:pt idx="3">
                  <c:v>2.41</c:v>
                </c:pt>
                <c:pt idx="4">
                  <c:v>2.4</c:v>
                </c:pt>
                <c:pt idx="5">
                  <c:v>2.29</c:v>
                </c:pt>
                <c:pt idx="6">
                  <c:v>2.27</c:v>
                </c:pt>
                <c:pt idx="7">
                  <c:v>2.21</c:v>
                </c:pt>
                <c:pt idx="8">
                  <c:v>2.2000000000000002</c:v>
                </c:pt>
                <c:pt idx="9">
                  <c:v>2.27</c:v>
                </c:pt>
                <c:pt idx="10">
                  <c:v>2.41</c:v>
                </c:pt>
                <c:pt idx="11">
                  <c:v>2.41</c:v>
                </c:pt>
                <c:pt idx="12">
                  <c:v>2.37</c:v>
                </c:pt>
                <c:pt idx="13">
                  <c:v>2.2999999999999998</c:v>
                </c:pt>
                <c:pt idx="14">
                  <c:v>2.33</c:v>
                </c:pt>
                <c:pt idx="15">
                  <c:v>2.3199999999999998</c:v>
                </c:pt>
                <c:pt idx="16">
                  <c:v>2.27</c:v>
                </c:pt>
                <c:pt idx="17">
                  <c:v>2.38</c:v>
                </c:pt>
                <c:pt idx="18">
                  <c:v>2.4700000000000002</c:v>
                </c:pt>
                <c:pt idx="19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3-409B-A659-F7215550C313}"/>
            </c:ext>
          </c:extLst>
        </c:ser>
        <c:ser>
          <c:idx val="2"/>
          <c:order val="2"/>
          <c:tx>
            <c:strRef>
              <c:f>'Pivot Data'!$J$3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Data'!$G$4:$G$23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Data'!$J$4:$J$23</c:f>
              <c:numCache>
                <c:formatCode>0.00%</c:formatCode>
                <c:ptCount val="20"/>
                <c:pt idx="0">
                  <c:v>1.167315175097286E-2</c:v>
                </c:pt>
                <c:pt idx="1">
                  <c:v>-3.9062500000000035E-2</c:v>
                </c:pt>
                <c:pt idx="2">
                  <c:v>3.7190082644628045E-2</c:v>
                </c:pt>
                <c:pt idx="3">
                  <c:v>-3.5999999999999942E-2</c:v>
                </c:pt>
                <c:pt idx="4">
                  <c:v>0</c:v>
                </c:pt>
                <c:pt idx="5">
                  <c:v>-5.371900826446277E-2</c:v>
                </c:pt>
                <c:pt idx="6">
                  <c:v>0</c:v>
                </c:pt>
                <c:pt idx="7">
                  <c:v>-3.0701754385964845E-2</c:v>
                </c:pt>
                <c:pt idx="8">
                  <c:v>-9.0090090090090159E-3</c:v>
                </c:pt>
                <c:pt idx="9">
                  <c:v>3.1818181818181746E-2</c:v>
                </c:pt>
                <c:pt idx="10">
                  <c:v>2.9914529914530037E-2</c:v>
                </c:pt>
                <c:pt idx="11">
                  <c:v>1.6877637130801704E-2</c:v>
                </c:pt>
                <c:pt idx="12">
                  <c:v>-2.8688524590163869E-2</c:v>
                </c:pt>
                <c:pt idx="13">
                  <c:v>-2.1276595744680965E-2</c:v>
                </c:pt>
                <c:pt idx="14">
                  <c:v>-3.3195020746887995E-2</c:v>
                </c:pt>
                <c:pt idx="15">
                  <c:v>4.3290043290042362E-3</c:v>
                </c:pt>
                <c:pt idx="16">
                  <c:v>-2.9914529914529846E-2</c:v>
                </c:pt>
                <c:pt idx="17">
                  <c:v>3.9301310043668061E-2</c:v>
                </c:pt>
                <c:pt idx="18">
                  <c:v>8.1632653061224549E-3</c:v>
                </c:pt>
                <c:pt idx="19">
                  <c:v>4.0160642570280979E-2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53-409B-A659-F7215550C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9031768"/>
        <c:axId val="619030128"/>
      </c:lineChart>
      <c:catAx>
        <c:axId val="61903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30128"/>
        <c:crosses val="autoZero"/>
        <c:auto val="1"/>
        <c:lblAlgn val="ctr"/>
        <c:lblOffset val="100"/>
        <c:noMultiLvlLbl val="0"/>
      </c:catAx>
      <c:valAx>
        <c:axId val="619030128"/>
        <c:scaling>
          <c:orientation val="minMax"/>
          <c:max val="3"/>
          <c:min val="0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031768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Data'!$N$3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Data'!$M$4:$M$23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Data'!$N$4:$N$23</c:f>
              <c:numCache>
                <c:formatCode>"$"#,##0.00</c:formatCode>
                <c:ptCount val="20"/>
                <c:pt idx="0">
                  <c:v>6.1</c:v>
                </c:pt>
                <c:pt idx="1">
                  <c:v>5.96</c:v>
                </c:pt>
                <c:pt idx="2">
                  <c:v>5.81</c:v>
                </c:pt>
                <c:pt idx="3">
                  <c:v>6</c:v>
                </c:pt>
                <c:pt idx="4">
                  <c:v>5.87</c:v>
                </c:pt>
                <c:pt idx="5">
                  <c:v>5.81</c:v>
                </c:pt>
                <c:pt idx="6">
                  <c:v>5.8</c:v>
                </c:pt>
                <c:pt idx="7">
                  <c:v>5.74</c:v>
                </c:pt>
                <c:pt idx="8">
                  <c:v>5.59</c:v>
                </c:pt>
                <c:pt idx="9">
                  <c:v>5.8</c:v>
                </c:pt>
                <c:pt idx="10">
                  <c:v>5.78</c:v>
                </c:pt>
                <c:pt idx="11">
                  <c:v>5.75</c:v>
                </c:pt>
                <c:pt idx="12">
                  <c:v>5.85</c:v>
                </c:pt>
                <c:pt idx="13">
                  <c:v>6</c:v>
                </c:pt>
                <c:pt idx="14">
                  <c:v>6.3</c:v>
                </c:pt>
                <c:pt idx="15">
                  <c:v>5.61</c:v>
                </c:pt>
                <c:pt idx="16">
                  <c:v>5.61</c:v>
                </c:pt>
                <c:pt idx="17">
                  <c:v>5.34</c:v>
                </c:pt>
                <c:pt idx="18">
                  <c:v>5.74</c:v>
                </c:pt>
                <c:pt idx="19">
                  <c:v>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4-40A4-A373-CCE5CE8FAC8D}"/>
            </c:ext>
          </c:extLst>
        </c:ser>
        <c:ser>
          <c:idx val="1"/>
          <c:order val="1"/>
          <c:tx>
            <c:strRef>
              <c:f>'Pivot Data'!$O$3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Data'!$M$4:$M$23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Data'!$O$4:$O$23</c:f>
              <c:numCache>
                <c:formatCode>"$"#,##0.00</c:formatCode>
                <c:ptCount val="20"/>
                <c:pt idx="0">
                  <c:v>6.07</c:v>
                </c:pt>
                <c:pt idx="1">
                  <c:v>5.86</c:v>
                </c:pt>
                <c:pt idx="2">
                  <c:v>6.04</c:v>
                </c:pt>
                <c:pt idx="3">
                  <c:v>5.84</c:v>
                </c:pt>
                <c:pt idx="4">
                  <c:v>5.69</c:v>
                </c:pt>
                <c:pt idx="5">
                  <c:v>5.87</c:v>
                </c:pt>
                <c:pt idx="6">
                  <c:v>5.84</c:v>
                </c:pt>
                <c:pt idx="7">
                  <c:v>5.51</c:v>
                </c:pt>
                <c:pt idx="8">
                  <c:v>5.73</c:v>
                </c:pt>
                <c:pt idx="9">
                  <c:v>5.82</c:v>
                </c:pt>
                <c:pt idx="10">
                  <c:v>5.85</c:v>
                </c:pt>
                <c:pt idx="11">
                  <c:v>5.91</c:v>
                </c:pt>
                <c:pt idx="12">
                  <c:v>6.01</c:v>
                </c:pt>
                <c:pt idx="13">
                  <c:v>6.04</c:v>
                </c:pt>
                <c:pt idx="14">
                  <c:v>5.53</c:v>
                </c:pt>
                <c:pt idx="15">
                  <c:v>5.6</c:v>
                </c:pt>
                <c:pt idx="16">
                  <c:v>5.36</c:v>
                </c:pt>
                <c:pt idx="17">
                  <c:v>5.75</c:v>
                </c:pt>
                <c:pt idx="18">
                  <c:v>5.94</c:v>
                </c:pt>
                <c:pt idx="19">
                  <c:v>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4-40A4-A373-CCE5CE8FAC8D}"/>
            </c:ext>
          </c:extLst>
        </c:ser>
        <c:ser>
          <c:idx val="2"/>
          <c:order val="2"/>
          <c:tx>
            <c:strRef>
              <c:f>'Pivot Data'!$P$3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Data'!$M$4:$M$23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Data'!$P$4:$P$23</c:f>
              <c:numCache>
                <c:formatCode>0.00%</c:formatCode>
                <c:ptCount val="20"/>
                <c:pt idx="0">
                  <c:v>-4.9180327868851414E-3</c:v>
                </c:pt>
                <c:pt idx="1">
                  <c:v>-1.6778523489932827E-2</c:v>
                </c:pt>
                <c:pt idx="2">
                  <c:v>3.9586919104991472E-2</c:v>
                </c:pt>
                <c:pt idx="3">
                  <c:v>-2.6666666666666689E-2</c:v>
                </c:pt>
                <c:pt idx="4">
                  <c:v>-3.0664395229982915E-2</c:v>
                </c:pt>
                <c:pt idx="5">
                  <c:v>1.0327022375215232E-2</c:v>
                </c:pt>
                <c:pt idx="6">
                  <c:v>6.896551724137937E-3</c:v>
                </c:pt>
                <c:pt idx="7">
                  <c:v>-4.0069686411149899E-2</c:v>
                </c:pt>
                <c:pt idx="8">
                  <c:v>2.5044722719141425E-2</c:v>
                </c:pt>
                <c:pt idx="9">
                  <c:v>3.4482758620690453E-3</c:v>
                </c:pt>
                <c:pt idx="10">
                  <c:v>1.2110726643598512E-2</c:v>
                </c:pt>
                <c:pt idx="11">
                  <c:v>2.7826086956521764E-2</c:v>
                </c:pt>
                <c:pt idx="12">
                  <c:v>2.7350427350427375E-2</c:v>
                </c:pt>
                <c:pt idx="13">
                  <c:v>6.6666666666666723E-3</c:v>
                </c:pt>
                <c:pt idx="14">
                  <c:v>-0.12222222222222216</c:v>
                </c:pt>
                <c:pt idx="15">
                  <c:v>-1.7825311942960204E-3</c:v>
                </c:pt>
                <c:pt idx="16">
                  <c:v>-4.4563279857397504E-2</c:v>
                </c:pt>
                <c:pt idx="17">
                  <c:v>7.6779026217228499E-2</c:v>
                </c:pt>
                <c:pt idx="18">
                  <c:v>3.4843205574912925E-2</c:v>
                </c:pt>
                <c:pt idx="19">
                  <c:v>1.9900497512437828E-2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74-40A4-A373-CCE5CE8FA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761664"/>
        <c:axId val="1017764616"/>
      </c:lineChart>
      <c:catAx>
        <c:axId val="101776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764616"/>
        <c:crosses val="autoZero"/>
        <c:auto val="1"/>
        <c:lblAlgn val="ctr"/>
        <c:lblOffset val="100"/>
        <c:noMultiLvlLbl val="0"/>
      </c:catAx>
      <c:valAx>
        <c:axId val="1017764616"/>
        <c:scaling>
          <c:orientation val="minMax"/>
          <c:min val="1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761664"/>
        <c:crosses val="autoZero"/>
        <c:crossBetween val="between"/>
        <c:minorUnit val="0.5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EVGO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Data'!$T$3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Data'!$S$4:$S$23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Data'!$T$4:$T$23</c:f>
              <c:numCache>
                <c:formatCode>"$"#,##0.00</c:formatCode>
                <c:ptCount val="20"/>
                <c:pt idx="0">
                  <c:v>2.11</c:v>
                </c:pt>
                <c:pt idx="1">
                  <c:v>2.0499999999999998</c:v>
                </c:pt>
                <c:pt idx="2">
                  <c:v>1.9</c:v>
                </c:pt>
                <c:pt idx="3">
                  <c:v>2.0499999999999998</c:v>
                </c:pt>
                <c:pt idx="4">
                  <c:v>1.93</c:v>
                </c:pt>
                <c:pt idx="5">
                  <c:v>1.85</c:v>
                </c:pt>
                <c:pt idx="6">
                  <c:v>1.77</c:v>
                </c:pt>
                <c:pt idx="7">
                  <c:v>1.72</c:v>
                </c:pt>
                <c:pt idx="8">
                  <c:v>1.73</c:v>
                </c:pt>
                <c:pt idx="9">
                  <c:v>1.67</c:v>
                </c:pt>
                <c:pt idx="10">
                  <c:v>1.75</c:v>
                </c:pt>
                <c:pt idx="11">
                  <c:v>1.72</c:v>
                </c:pt>
                <c:pt idx="12">
                  <c:v>1.71</c:v>
                </c:pt>
                <c:pt idx="13">
                  <c:v>1.82</c:v>
                </c:pt>
                <c:pt idx="14">
                  <c:v>1.94</c:v>
                </c:pt>
                <c:pt idx="15">
                  <c:v>1.88</c:v>
                </c:pt>
                <c:pt idx="16">
                  <c:v>2.0299999999999998</c:v>
                </c:pt>
                <c:pt idx="17">
                  <c:v>1.9</c:v>
                </c:pt>
                <c:pt idx="18">
                  <c:v>1.98</c:v>
                </c:pt>
                <c:pt idx="1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E-4433-A484-08B91DC522DC}"/>
            </c:ext>
          </c:extLst>
        </c:ser>
        <c:ser>
          <c:idx val="1"/>
          <c:order val="1"/>
          <c:tx>
            <c:strRef>
              <c:f>'Pivot Data'!$U$3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Data'!$S$4:$S$23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Data'!$U$4:$U$23</c:f>
              <c:numCache>
                <c:formatCode>"$"#,##0.00</c:formatCode>
                <c:ptCount val="20"/>
                <c:pt idx="0">
                  <c:v>2.06</c:v>
                </c:pt>
                <c:pt idx="1">
                  <c:v>1.93</c:v>
                </c:pt>
                <c:pt idx="2">
                  <c:v>2.0499999999999998</c:v>
                </c:pt>
                <c:pt idx="3">
                  <c:v>1.94</c:v>
                </c:pt>
                <c:pt idx="4">
                  <c:v>1.87</c:v>
                </c:pt>
                <c:pt idx="5">
                  <c:v>1.81</c:v>
                </c:pt>
                <c:pt idx="6">
                  <c:v>1.75</c:v>
                </c:pt>
                <c:pt idx="7">
                  <c:v>1.72</c:v>
                </c:pt>
                <c:pt idx="8">
                  <c:v>1.66</c:v>
                </c:pt>
                <c:pt idx="9">
                  <c:v>1.72</c:v>
                </c:pt>
                <c:pt idx="10">
                  <c:v>1.77</c:v>
                </c:pt>
                <c:pt idx="11">
                  <c:v>1.71</c:v>
                </c:pt>
                <c:pt idx="12">
                  <c:v>1.85</c:v>
                </c:pt>
                <c:pt idx="13">
                  <c:v>1.8</c:v>
                </c:pt>
                <c:pt idx="14">
                  <c:v>1.91</c:v>
                </c:pt>
                <c:pt idx="15">
                  <c:v>2</c:v>
                </c:pt>
                <c:pt idx="16">
                  <c:v>1.94</c:v>
                </c:pt>
                <c:pt idx="17">
                  <c:v>1.93</c:v>
                </c:pt>
                <c:pt idx="18">
                  <c:v>2.0499999999999998</c:v>
                </c:pt>
                <c:pt idx="1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E-4433-A484-08B91DC522DC}"/>
            </c:ext>
          </c:extLst>
        </c:ser>
        <c:ser>
          <c:idx val="2"/>
          <c:order val="2"/>
          <c:tx>
            <c:strRef>
              <c:f>'Pivot Data'!$V$3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Data'!$S$4:$S$23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Data'!$V$4:$V$23</c:f>
              <c:numCache>
                <c:formatCode>0.00%</c:formatCode>
                <c:ptCount val="20"/>
                <c:pt idx="0">
                  <c:v>-2.3696682464454895E-2</c:v>
                </c:pt>
                <c:pt idx="1">
                  <c:v>-5.8536585365853606E-2</c:v>
                </c:pt>
                <c:pt idx="2">
                  <c:v>7.8947368421052586E-2</c:v>
                </c:pt>
                <c:pt idx="3">
                  <c:v>-5.3658536585365797E-2</c:v>
                </c:pt>
                <c:pt idx="4">
                  <c:v>-3.1088082901554317E-2</c:v>
                </c:pt>
                <c:pt idx="5">
                  <c:v>-2.162162162162164E-2</c:v>
                </c:pt>
                <c:pt idx="6">
                  <c:v>-1.1299435028248598E-2</c:v>
                </c:pt>
                <c:pt idx="7">
                  <c:v>0</c:v>
                </c:pt>
                <c:pt idx="8">
                  <c:v>-4.0462427745664775E-2</c:v>
                </c:pt>
                <c:pt idx="9">
                  <c:v>2.994011976047907E-2</c:v>
                </c:pt>
                <c:pt idx="10">
                  <c:v>1.1428571428571439E-2</c:v>
                </c:pt>
                <c:pt idx="11">
                  <c:v>-5.8139534883720981E-3</c:v>
                </c:pt>
                <c:pt idx="12">
                  <c:v>8.1871345029239845E-2</c:v>
                </c:pt>
                <c:pt idx="13">
                  <c:v>-1.0989010989010999E-2</c:v>
                </c:pt>
                <c:pt idx="14">
                  <c:v>-1.546391752577321E-2</c:v>
                </c:pt>
                <c:pt idx="15">
                  <c:v>6.3829787234042618E-2</c:v>
                </c:pt>
                <c:pt idx="16">
                  <c:v>-4.433497536945806E-2</c:v>
                </c:pt>
                <c:pt idx="17">
                  <c:v>1.5789473684210541E-2</c:v>
                </c:pt>
                <c:pt idx="18">
                  <c:v>3.5353535353535276E-2</c:v>
                </c:pt>
                <c:pt idx="19">
                  <c:v>4.8780487804879176E-3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2E-4433-A484-08B91DC52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04592"/>
        <c:axId val="445652152"/>
      </c:lineChart>
      <c:catAx>
        <c:axId val="44560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52152"/>
        <c:crosses val="autoZero"/>
        <c:auto val="1"/>
        <c:lblAlgn val="ctr"/>
        <c:lblOffset val="100"/>
        <c:noMultiLvlLbl val="0"/>
      </c:catAx>
      <c:valAx>
        <c:axId val="445652152"/>
        <c:scaling>
          <c:orientation val="minMax"/>
          <c:min val="0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0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BLDP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Data'!$B$29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Data'!$A$30:$A$49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Data'!$B$30:$B$49</c:f>
              <c:numCache>
                <c:formatCode>"$"#,##0.00</c:formatCode>
                <c:ptCount val="20"/>
                <c:pt idx="0">
                  <c:v>2.56</c:v>
                </c:pt>
                <c:pt idx="1">
                  <c:v>2.64</c:v>
                </c:pt>
                <c:pt idx="2">
                  <c:v>2.5099999999999998</c:v>
                </c:pt>
                <c:pt idx="3">
                  <c:v>2.4700000000000002</c:v>
                </c:pt>
                <c:pt idx="4">
                  <c:v>2.4700000000000002</c:v>
                </c:pt>
                <c:pt idx="5">
                  <c:v>2.5</c:v>
                </c:pt>
                <c:pt idx="6">
                  <c:v>2.4900000000000002</c:v>
                </c:pt>
                <c:pt idx="7">
                  <c:v>2.41</c:v>
                </c:pt>
                <c:pt idx="8">
                  <c:v>2.42</c:v>
                </c:pt>
                <c:pt idx="9">
                  <c:v>2.3199999999999998</c:v>
                </c:pt>
                <c:pt idx="10">
                  <c:v>2.44</c:v>
                </c:pt>
                <c:pt idx="11">
                  <c:v>2.35</c:v>
                </c:pt>
                <c:pt idx="12">
                  <c:v>2.5</c:v>
                </c:pt>
                <c:pt idx="13">
                  <c:v>2.5099999999999998</c:v>
                </c:pt>
                <c:pt idx="14">
                  <c:v>2.5499999999999998</c:v>
                </c:pt>
                <c:pt idx="15">
                  <c:v>2.58</c:v>
                </c:pt>
                <c:pt idx="16">
                  <c:v>2.67</c:v>
                </c:pt>
                <c:pt idx="17">
                  <c:v>2.78</c:v>
                </c:pt>
                <c:pt idx="18">
                  <c:v>2.81</c:v>
                </c:pt>
                <c:pt idx="19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F9-4A5E-9A8A-42AAA5367B19}"/>
            </c:ext>
          </c:extLst>
        </c:ser>
        <c:ser>
          <c:idx val="1"/>
          <c:order val="1"/>
          <c:tx>
            <c:strRef>
              <c:f>'Pivot Data'!$C$29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Data'!$A$30:$A$49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Data'!$C$30:$C$49</c:f>
              <c:numCache>
                <c:formatCode>"$"#,##0.00</c:formatCode>
                <c:ptCount val="20"/>
                <c:pt idx="0">
                  <c:v>2.68</c:v>
                </c:pt>
                <c:pt idx="1">
                  <c:v>2.61</c:v>
                </c:pt>
                <c:pt idx="2">
                  <c:v>2.48</c:v>
                </c:pt>
                <c:pt idx="3">
                  <c:v>2.41</c:v>
                </c:pt>
                <c:pt idx="4">
                  <c:v>2.46</c:v>
                </c:pt>
                <c:pt idx="5">
                  <c:v>2.54</c:v>
                </c:pt>
                <c:pt idx="6">
                  <c:v>2.4500000000000002</c:v>
                </c:pt>
                <c:pt idx="7">
                  <c:v>2.39</c:v>
                </c:pt>
                <c:pt idx="8">
                  <c:v>2.2999999999999998</c:v>
                </c:pt>
                <c:pt idx="9">
                  <c:v>2.42</c:v>
                </c:pt>
                <c:pt idx="10">
                  <c:v>2.41</c:v>
                </c:pt>
                <c:pt idx="11">
                  <c:v>2.48</c:v>
                </c:pt>
                <c:pt idx="12">
                  <c:v>2.5299999999999998</c:v>
                </c:pt>
                <c:pt idx="13">
                  <c:v>2.4</c:v>
                </c:pt>
                <c:pt idx="14">
                  <c:v>2.6</c:v>
                </c:pt>
                <c:pt idx="15">
                  <c:v>2.64</c:v>
                </c:pt>
                <c:pt idx="16">
                  <c:v>2.81</c:v>
                </c:pt>
                <c:pt idx="17">
                  <c:v>2.7</c:v>
                </c:pt>
                <c:pt idx="18">
                  <c:v>2.86</c:v>
                </c:pt>
                <c:pt idx="19">
                  <c:v>3.07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F9-4A5E-9A8A-42AAA5367B19}"/>
            </c:ext>
          </c:extLst>
        </c:ser>
        <c:ser>
          <c:idx val="2"/>
          <c:order val="2"/>
          <c:tx>
            <c:strRef>
              <c:f>'Pivot Data'!$D$29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Data'!$A$30:$A$49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Data'!$D$30:$D$49</c:f>
              <c:numCache>
                <c:formatCode>0.00%</c:formatCode>
                <c:ptCount val="20"/>
                <c:pt idx="0">
                  <c:v>4.6875000000000042E-2</c:v>
                </c:pt>
                <c:pt idx="1">
                  <c:v>-1.1363636363636458E-2</c:v>
                </c:pt>
                <c:pt idx="2">
                  <c:v>-1.1952191235059684E-2</c:v>
                </c:pt>
                <c:pt idx="3">
                  <c:v>-2.4291497975708523E-2</c:v>
                </c:pt>
                <c:pt idx="4">
                  <c:v>-4.0485829959515099E-3</c:v>
                </c:pt>
                <c:pt idx="5">
                  <c:v>1.6000000000000014E-2</c:v>
                </c:pt>
                <c:pt idx="6">
                  <c:v>-1.6064257028112462E-2</c:v>
                </c:pt>
                <c:pt idx="7">
                  <c:v>-8.2987551867219986E-3</c:v>
                </c:pt>
                <c:pt idx="8">
                  <c:v>-4.9586776859504175E-2</c:v>
                </c:pt>
                <c:pt idx="9">
                  <c:v>4.3103448275862113E-2</c:v>
                </c:pt>
                <c:pt idx="10">
                  <c:v>-1.2295081967213035E-2</c:v>
                </c:pt>
                <c:pt idx="11">
                  <c:v>5.5319148936170168E-2</c:v>
                </c:pt>
                <c:pt idx="12">
                  <c:v>1.1999999999999922E-2</c:v>
                </c:pt>
                <c:pt idx="13">
                  <c:v>-4.3824701195219078E-2</c:v>
                </c:pt>
                <c:pt idx="14">
                  <c:v>1.9607843137255009E-2</c:v>
                </c:pt>
                <c:pt idx="15">
                  <c:v>2.3255813953488393E-2</c:v>
                </c:pt>
                <c:pt idx="16">
                  <c:v>5.2434456928838996E-2</c:v>
                </c:pt>
                <c:pt idx="17">
                  <c:v>-2.8776978417266053E-2</c:v>
                </c:pt>
                <c:pt idx="18">
                  <c:v>1.7793594306049758E-2</c:v>
                </c:pt>
                <c:pt idx="19">
                  <c:v>3.0201342281879148E-2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F9-4A5E-9A8A-42AAA5367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363208"/>
        <c:axId val="443358288"/>
      </c:lineChart>
      <c:catAx>
        <c:axId val="44336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58288"/>
        <c:crosses val="autoZero"/>
        <c:auto val="1"/>
        <c:lblAlgn val="ctr"/>
        <c:lblOffset val="100"/>
        <c:noMultiLvlLbl val="0"/>
      </c:catAx>
      <c:valAx>
        <c:axId val="443358288"/>
        <c:scaling>
          <c:orientation val="minMax"/>
          <c:min val="0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6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Data'!$H$29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Data'!$G$30:$G$49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Data'!$H$30:$H$49</c:f>
              <c:numCache>
                <c:formatCode>"$"#,##0.00</c:formatCode>
                <c:ptCount val="20"/>
                <c:pt idx="0">
                  <c:v>12.93</c:v>
                </c:pt>
                <c:pt idx="1">
                  <c:v>13.37</c:v>
                </c:pt>
                <c:pt idx="2">
                  <c:v>12.52</c:v>
                </c:pt>
                <c:pt idx="3">
                  <c:v>13.05</c:v>
                </c:pt>
                <c:pt idx="4">
                  <c:v>12.42</c:v>
                </c:pt>
                <c:pt idx="5">
                  <c:v>12.95</c:v>
                </c:pt>
                <c:pt idx="6">
                  <c:v>12.74</c:v>
                </c:pt>
                <c:pt idx="7">
                  <c:v>12.19</c:v>
                </c:pt>
                <c:pt idx="8">
                  <c:v>12.89</c:v>
                </c:pt>
                <c:pt idx="9">
                  <c:v>12.53</c:v>
                </c:pt>
                <c:pt idx="10">
                  <c:v>13.8</c:v>
                </c:pt>
                <c:pt idx="11">
                  <c:v>13.63</c:v>
                </c:pt>
                <c:pt idx="12">
                  <c:v>13.42</c:v>
                </c:pt>
                <c:pt idx="13">
                  <c:v>13.05</c:v>
                </c:pt>
                <c:pt idx="14">
                  <c:v>14.34</c:v>
                </c:pt>
                <c:pt idx="15">
                  <c:v>13.7</c:v>
                </c:pt>
                <c:pt idx="16">
                  <c:v>13.4</c:v>
                </c:pt>
                <c:pt idx="17">
                  <c:v>13.09</c:v>
                </c:pt>
                <c:pt idx="18">
                  <c:v>13.05</c:v>
                </c:pt>
                <c:pt idx="19">
                  <c:v>12.59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7-426A-A40A-14F69F727C2E}"/>
            </c:ext>
          </c:extLst>
        </c:ser>
        <c:ser>
          <c:idx val="1"/>
          <c:order val="1"/>
          <c:tx>
            <c:strRef>
              <c:f>'Pivot Data'!$I$29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Data'!$G$30:$G$49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Data'!$I$30:$I$49</c:f>
              <c:numCache>
                <c:formatCode>"$"#,##0.00</c:formatCode>
                <c:ptCount val="20"/>
                <c:pt idx="0">
                  <c:v>13.29</c:v>
                </c:pt>
                <c:pt idx="1">
                  <c:v>12.79</c:v>
                </c:pt>
                <c:pt idx="2">
                  <c:v>13.08</c:v>
                </c:pt>
                <c:pt idx="3">
                  <c:v>12.22</c:v>
                </c:pt>
                <c:pt idx="4">
                  <c:v>12.75</c:v>
                </c:pt>
                <c:pt idx="5">
                  <c:v>13.04</c:v>
                </c:pt>
                <c:pt idx="6">
                  <c:v>12.4</c:v>
                </c:pt>
                <c:pt idx="7">
                  <c:v>12.6</c:v>
                </c:pt>
                <c:pt idx="8">
                  <c:v>12.14</c:v>
                </c:pt>
                <c:pt idx="9">
                  <c:v>13.56</c:v>
                </c:pt>
                <c:pt idx="10">
                  <c:v>14.15</c:v>
                </c:pt>
                <c:pt idx="11">
                  <c:v>13.5</c:v>
                </c:pt>
                <c:pt idx="12">
                  <c:v>13.23</c:v>
                </c:pt>
                <c:pt idx="13">
                  <c:v>13.22</c:v>
                </c:pt>
                <c:pt idx="14">
                  <c:v>13.87</c:v>
                </c:pt>
                <c:pt idx="15">
                  <c:v>13.33</c:v>
                </c:pt>
                <c:pt idx="16">
                  <c:v>13.28</c:v>
                </c:pt>
                <c:pt idx="17">
                  <c:v>12.76</c:v>
                </c:pt>
                <c:pt idx="18">
                  <c:v>12.45</c:v>
                </c:pt>
                <c:pt idx="19">
                  <c:v>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E7-426A-A40A-14F69F727C2E}"/>
            </c:ext>
          </c:extLst>
        </c:ser>
        <c:ser>
          <c:idx val="2"/>
          <c:order val="2"/>
          <c:tx>
            <c:strRef>
              <c:f>'Pivot Data'!$J$29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Data'!$G$30:$G$49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Data'!$J$30:$J$49</c:f>
              <c:numCache>
                <c:formatCode>0.00%</c:formatCode>
                <c:ptCount val="20"/>
                <c:pt idx="0">
                  <c:v>2.7842227378190212E-2</c:v>
                </c:pt>
                <c:pt idx="1">
                  <c:v>-4.3380703066566946E-2</c:v>
                </c:pt>
                <c:pt idx="2">
                  <c:v>4.4728434504792372E-2</c:v>
                </c:pt>
                <c:pt idx="3">
                  <c:v>-6.3601532567049812E-2</c:v>
                </c:pt>
                <c:pt idx="4">
                  <c:v>2.6570048309178751E-2</c:v>
                </c:pt>
                <c:pt idx="5">
                  <c:v>6.949806949806939E-3</c:v>
                </c:pt>
                <c:pt idx="6">
                  <c:v>-2.6687598116169532E-2</c:v>
                </c:pt>
                <c:pt idx="7">
                  <c:v>3.3634126333059899E-2</c:v>
                </c:pt>
                <c:pt idx="8">
                  <c:v>-5.8184639255236613E-2</c:v>
                </c:pt>
                <c:pt idx="9">
                  <c:v>8.220271348762978E-2</c:v>
                </c:pt>
                <c:pt idx="10">
                  <c:v>2.5362318840579684E-2</c:v>
                </c:pt>
                <c:pt idx="11">
                  <c:v>-9.537784299339748E-3</c:v>
                </c:pt>
                <c:pt idx="12">
                  <c:v>-1.4157973174366579E-2</c:v>
                </c:pt>
                <c:pt idx="13">
                  <c:v>1.3026819923371642E-2</c:v>
                </c:pt>
                <c:pt idx="14">
                  <c:v>-3.2775453277545372E-2</c:v>
                </c:pt>
                <c:pt idx="15">
                  <c:v>-2.7007299270072938E-2</c:v>
                </c:pt>
                <c:pt idx="16">
                  <c:v>-8.9552238805970883E-3</c:v>
                </c:pt>
                <c:pt idx="17">
                  <c:v>-2.5210084033613449E-2</c:v>
                </c:pt>
                <c:pt idx="18">
                  <c:v>-4.5977011494252977E-2</c:v>
                </c:pt>
                <c:pt idx="19">
                  <c:v>-3.8919777601270869E-2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E7-426A-A40A-14F69F72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04264"/>
        <c:axId val="445594424"/>
      </c:lineChart>
      <c:catAx>
        <c:axId val="44560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94424"/>
        <c:crosses val="autoZero"/>
        <c:auto val="1"/>
        <c:lblAlgn val="ctr"/>
        <c:lblOffset val="100"/>
        <c:noMultiLvlLbl val="0"/>
      </c:catAx>
      <c:valAx>
        <c:axId val="445594424"/>
        <c:scaling>
          <c:orientation val="minMax"/>
          <c:min val="0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04264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Data'!$N$29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Data'!$M$30:$M$49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Data'!$N$30:$N$49</c:f>
              <c:numCache>
                <c:formatCode>"$"#,##0.00</c:formatCode>
                <c:ptCount val="20"/>
                <c:pt idx="0">
                  <c:v>10.94</c:v>
                </c:pt>
                <c:pt idx="1">
                  <c:v>10.66</c:v>
                </c:pt>
                <c:pt idx="2">
                  <c:v>10.31</c:v>
                </c:pt>
                <c:pt idx="3">
                  <c:v>10.42</c:v>
                </c:pt>
                <c:pt idx="4">
                  <c:v>9.99</c:v>
                </c:pt>
                <c:pt idx="5">
                  <c:v>10.1</c:v>
                </c:pt>
                <c:pt idx="6">
                  <c:v>10.220000000000001</c:v>
                </c:pt>
                <c:pt idx="7">
                  <c:v>9.41</c:v>
                </c:pt>
                <c:pt idx="8">
                  <c:v>8.7899999999999991</c:v>
                </c:pt>
                <c:pt idx="9">
                  <c:v>8.4700000000000006</c:v>
                </c:pt>
                <c:pt idx="10">
                  <c:v>8.94</c:v>
                </c:pt>
                <c:pt idx="11">
                  <c:v>8.39</c:v>
                </c:pt>
                <c:pt idx="12">
                  <c:v>8.67</c:v>
                </c:pt>
                <c:pt idx="13">
                  <c:v>8.8800000000000008</c:v>
                </c:pt>
                <c:pt idx="14">
                  <c:v>9.5399999999999991</c:v>
                </c:pt>
                <c:pt idx="15">
                  <c:v>9.4</c:v>
                </c:pt>
                <c:pt idx="16">
                  <c:v>9.8000000000000007</c:v>
                </c:pt>
                <c:pt idx="17">
                  <c:v>9.25</c:v>
                </c:pt>
                <c:pt idx="18">
                  <c:v>10</c:v>
                </c:pt>
                <c:pt idx="19">
                  <c:v>10.52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A-486E-A225-D1FD361BD98B}"/>
            </c:ext>
          </c:extLst>
        </c:ser>
        <c:ser>
          <c:idx val="1"/>
          <c:order val="1"/>
          <c:tx>
            <c:strRef>
              <c:f>'Pivot Data'!$O$29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Data'!$M$30:$M$49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Data'!$O$30:$O$49</c:f>
              <c:numCache>
                <c:formatCode>"$"#,##0.00</c:formatCode>
                <c:ptCount val="20"/>
                <c:pt idx="0">
                  <c:v>10.9</c:v>
                </c:pt>
                <c:pt idx="1">
                  <c:v>10.59</c:v>
                </c:pt>
                <c:pt idx="2">
                  <c:v>10.46</c:v>
                </c:pt>
                <c:pt idx="3">
                  <c:v>9.6999999999999993</c:v>
                </c:pt>
                <c:pt idx="4">
                  <c:v>9.99</c:v>
                </c:pt>
                <c:pt idx="5">
                  <c:v>10.47</c:v>
                </c:pt>
                <c:pt idx="6">
                  <c:v>9.7200000000000006</c:v>
                </c:pt>
                <c:pt idx="7">
                  <c:v>8.75</c:v>
                </c:pt>
                <c:pt idx="8">
                  <c:v>8.25</c:v>
                </c:pt>
                <c:pt idx="9">
                  <c:v>8.84</c:v>
                </c:pt>
                <c:pt idx="10">
                  <c:v>8.83</c:v>
                </c:pt>
                <c:pt idx="11">
                  <c:v>8.66</c:v>
                </c:pt>
                <c:pt idx="12">
                  <c:v>9.07</c:v>
                </c:pt>
                <c:pt idx="13">
                  <c:v>8.81</c:v>
                </c:pt>
                <c:pt idx="14">
                  <c:v>9.68</c:v>
                </c:pt>
                <c:pt idx="15">
                  <c:v>9.73</c:v>
                </c:pt>
                <c:pt idx="16">
                  <c:v>9.42</c:v>
                </c:pt>
                <c:pt idx="17">
                  <c:v>9.65</c:v>
                </c:pt>
                <c:pt idx="18">
                  <c:v>10.35</c:v>
                </c:pt>
                <c:pt idx="19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9A-486E-A225-D1FD361BD98B}"/>
            </c:ext>
          </c:extLst>
        </c:ser>
        <c:ser>
          <c:idx val="2"/>
          <c:order val="2"/>
          <c:tx>
            <c:strRef>
              <c:f>'Pivot Data'!$P$29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Data'!$M$30:$M$49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Data'!$P$30:$P$49</c:f>
              <c:numCache>
                <c:formatCode>0.00%</c:formatCode>
                <c:ptCount val="20"/>
                <c:pt idx="0">
                  <c:v>-3.6563071297988255E-3</c:v>
                </c:pt>
                <c:pt idx="1">
                  <c:v>-6.5666041275797638E-3</c:v>
                </c:pt>
                <c:pt idx="2">
                  <c:v>1.4548981571290044E-2</c:v>
                </c:pt>
                <c:pt idx="3">
                  <c:v>-6.9097888675623859E-2</c:v>
                </c:pt>
                <c:pt idx="4">
                  <c:v>0</c:v>
                </c:pt>
                <c:pt idx="5">
                  <c:v>3.6633663366336736E-2</c:v>
                </c:pt>
                <c:pt idx="6">
                  <c:v>-4.8923679060665359E-2</c:v>
                </c:pt>
                <c:pt idx="7">
                  <c:v>-7.013815090329438E-2</c:v>
                </c:pt>
                <c:pt idx="8">
                  <c:v>-6.1433447098976017E-2</c:v>
                </c:pt>
                <c:pt idx="9">
                  <c:v>4.3683589138134499E-2</c:v>
                </c:pt>
                <c:pt idx="10">
                  <c:v>-1.2304250559284054E-2</c:v>
                </c:pt>
                <c:pt idx="11">
                  <c:v>3.2181168057210913E-2</c:v>
                </c:pt>
                <c:pt idx="12">
                  <c:v>4.6136101499423342E-2</c:v>
                </c:pt>
                <c:pt idx="13">
                  <c:v>-7.8828828828829134E-3</c:v>
                </c:pt>
                <c:pt idx="14">
                  <c:v>1.4675052410901529E-2</c:v>
                </c:pt>
                <c:pt idx="15">
                  <c:v>3.5106382978723413E-2</c:v>
                </c:pt>
                <c:pt idx="16">
                  <c:v>-3.8775510204081709E-2</c:v>
                </c:pt>
                <c:pt idx="17">
                  <c:v>4.324324324324328E-2</c:v>
                </c:pt>
                <c:pt idx="18">
                  <c:v>3.4999999999999962E-2</c:v>
                </c:pt>
                <c:pt idx="19">
                  <c:v>2.1863117870722475E-2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A-486E-A225-D1FD361BD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44280"/>
        <c:axId val="445638048"/>
      </c:lineChart>
      <c:catAx>
        <c:axId val="44564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38048"/>
        <c:crosses val="autoZero"/>
        <c:auto val="1"/>
        <c:lblAlgn val="ctr"/>
        <c:lblOffset val="100"/>
        <c:noMultiLvlLbl val="0"/>
      </c:catAx>
      <c:valAx>
        <c:axId val="445638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4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MNDY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Data'!$T$29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Data'!$S$30:$S$49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Data'!$T$30:$T$49</c:f>
              <c:numCache>
                <c:formatCode>"$"#,##0.00</c:formatCode>
                <c:ptCount val="20"/>
                <c:pt idx="0">
                  <c:v>74.430000000000007</c:v>
                </c:pt>
                <c:pt idx="1">
                  <c:v>74.239999999999995</c:v>
                </c:pt>
                <c:pt idx="2">
                  <c:v>73.8</c:v>
                </c:pt>
                <c:pt idx="3">
                  <c:v>74.36</c:v>
                </c:pt>
                <c:pt idx="4">
                  <c:v>74.31</c:v>
                </c:pt>
                <c:pt idx="5">
                  <c:v>74.790000000000006</c:v>
                </c:pt>
                <c:pt idx="6">
                  <c:v>68.55</c:v>
                </c:pt>
                <c:pt idx="7">
                  <c:v>67.75</c:v>
                </c:pt>
                <c:pt idx="8">
                  <c:v>67.010000000000005</c:v>
                </c:pt>
                <c:pt idx="9">
                  <c:v>68.900000000000006</c:v>
                </c:pt>
                <c:pt idx="10">
                  <c:v>69.95</c:v>
                </c:pt>
                <c:pt idx="11">
                  <c:v>68.099999999999994</c:v>
                </c:pt>
                <c:pt idx="12">
                  <c:v>68.34</c:v>
                </c:pt>
                <c:pt idx="13">
                  <c:v>67.069999999999993</c:v>
                </c:pt>
                <c:pt idx="14">
                  <c:v>69.260000000000005</c:v>
                </c:pt>
                <c:pt idx="15">
                  <c:v>64.709999999999994</c:v>
                </c:pt>
                <c:pt idx="16">
                  <c:v>62.5</c:v>
                </c:pt>
                <c:pt idx="17">
                  <c:v>58.92</c:v>
                </c:pt>
                <c:pt idx="18">
                  <c:v>63.55</c:v>
                </c:pt>
                <c:pt idx="19">
                  <c:v>64.400000000000006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D-4B0F-968C-B1DABD96B90C}"/>
            </c:ext>
          </c:extLst>
        </c:ser>
        <c:ser>
          <c:idx val="1"/>
          <c:order val="1"/>
          <c:tx>
            <c:strRef>
              <c:f>'Pivot Data'!$U$29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Data'!$S$30:$S$49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Data'!$U$30:$U$49</c:f>
              <c:numCache>
                <c:formatCode>"$"#,##0.00</c:formatCode>
                <c:ptCount val="20"/>
                <c:pt idx="0">
                  <c:v>75.28</c:v>
                </c:pt>
                <c:pt idx="1">
                  <c:v>73.97</c:v>
                </c:pt>
                <c:pt idx="2">
                  <c:v>74.73</c:v>
                </c:pt>
                <c:pt idx="3">
                  <c:v>73.849999999999994</c:v>
                </c:pt>
                <c:pt idx="4">
                  <c:v>72.37</c:v>
                </c:pt>
                <c:pt idx="5">
                  <c:v>69.28</c:v>
                </c:pt>
                <c:pt idx="6">
                  <c:v>69.38</c:v>
                </c:pt>
                <c:pt idx="7">
                  <c:v>66.47</c:v>
                </c:pt>
                <c:pt idx="8">
                  <c:v>67.88</c:v>
                </c:pt>
                <c:pt idx="9">
                  <c:v>69.11</c:v>
                </c:pt>
                <c:pt idx="10">
                  <c:v>68.099999999999994</c:v>
                </c:pt>
                <c:pt idx="11">
                  <c:v>68.34</c:v>
                </c:pt>
                <c:pt idx="12">
                  <c:v>67.7</c:v>
                </c:pt>
                <c:pt idx="13">
                  <c:v>66.709999999999994</c:v>
                </c:pt>
                <c:pt idx="14">
                  <c:v>65.64</c:v>
                </c:pt>
                <c:pt idx="15">
                  <c:v>62.39</c:v>
                </c:pt>
                <c:pt idx="16">
                  <c:v>58.81</c:v>
                </c:pt>
                <c:pt idx="17">
                  <c:v>63.55</c:v>
                </c:pt>
                <c:pt idx="18">
                  <c:v>61.69</c:v>
                </c:pt>
                <c:pt idx="19">
                  <c:v>65.430000000000007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D-4B0F-968C-B1DABD96B90C}"/>
            </c:ext>
          </c:extLst>
        </c:ser>
        <c:ser>
          <c:idx val="2"/>
          <c:order val="2"/>
          <c:tx>
            <c:strRef>
              <c:f>'Pivot Data'!$V$29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Data'!$S$30:$S$49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Data'!$V$30:$V$49</c:f>
              <c:numCache>
                <c:formatCode>0.00%</c:formatCode>
                <c:ptCount val="20"/>
                <c:pt idx="0">
                  <c:v>1.1420126293161283E-2</c:v>
                </c:pt>
                <c:pt idx="1">
                  <c:v>-3.6368534482758086E-3</c:v>
                </c:pt>
                <c:pt idx="2">
                  <c:v>1.2601626016260255E-2</c:v>
                </c:pt>
                <c:pt idx="3">
                  <c:v>-6.858526089295389E-3</c:v>
                </c:pt>
                <c:pt idx="4">
                  <c:v>-2.6106849683757202E-2</c:v>
                </c:pt>
                <c:pt idx="5">
                  <c:v>-7.3672950929268677E-2</c:v>
                </c:pt>
                <c:pt idx="6">
                  <c:v>1.2107950401167007E-2</c:v>
                </c:pt>
                <c:pt idx="7">
                  <c:v>-1.8892988929889314E-2</c:v>
                </c:pt>
                <c:pt idx="8">
                  <c:v>1.2983136845246834E-2</c:v>
                </c:pt>
                <c:pt idx="9">
                  <c:v>3.0478955007255983E-3</c:v>
                </c:pt>
                <c:pt idx="10">
                  <c:v>-2.6447462473195259E-2</c:v>
                </c:pt>
                <c:pt idx="11">
                  <c:v>3.5242290748900016E-3</c:v>
                </c:pt>
                <c:pt idx="12">
                  <c:v>-9.3649400058530962E-3</c:v>
                </c:pt>
                <c:pt idx="13">
                  <c:v>-5.3675264648874229E-3</c:v>
                </c:pt>
                <c:pt idx="14">
                  <c:v>-5.226682067571476E-2</c:v>
                </c:pt>
                <c:pt idx="15">
                  <c:v>-3.5852263946839644E-2</c:v>
                </c:pt>
                <c:pt idx="16">
                  <c:v>-5.9039999999999961E-2</c:v>
                </c:pt>
                <c:pt idx="17">
                  <c:v>7.8581126951798974E-2</c:v>
                </c:pt>
                <c:pt idx="18">
                  <c:v>-2.9268292682926821E-2</c:v>
                </c:pt>
                <c:pt idx="19">
                  <c:v>1.5993788819875794E-2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D-4B0F-968C-B1DABD96B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5602952"/>
        <c:axId val="445594096"/>
      </c:lineChart>
      <c:catAx>
        <c:axId val="44560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94096"/>
        <c:crosses val="autoZero"/>
        <c:auto val="1"/>
        <c:lblAlgn val="ctr"/>
        <c:lblOffset val="100"/>
        <c:noMultiLvlLbl val="0"/>
      </c:catAx>
      <c:valAx>
        <c:axId val="445594096"/>
        <c:scaling>
          <c:orientation val="minMax"/>
          <c:min val="0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602952"/>
        <c:crosses val="autoZero"/>
        <c:crossBetween val="between"/>
        <c:majorUnit val="15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DXCM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Data'!$B$54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Data'!$A$55:$A$74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Data'!$B$55:$B$74</c:f>
              <c:numCache>
                <c:formatCode>"$"#,##0.00</c:formatCode>
                <c:ptCount val="20"/>
                <c:pt idx="0">
                  <c:v>67.11</c:v>
                </c:pt>
                <c:pt idx="1">
                  <c:v>66.72</c:v>
                </c:pt>
                <c:pt idx="2">
                  <c:v>67.98</c:v>
                </c:pt>
                <c:pt idx="3">
                  <c:v>67.42</c:v>
                </c:pt>
                <c:pt idx="4">
                  <c:v>66.31</c:v>
                </c:pt>
                <c:pt idx="5">
                  <c:v>67.22</c:v>
                </c:pt>
                <c:pt idx="6">
                  <c:v>66.84</c:v>
                </c:pt>
                <c:pt idx="7">
                  <c:v>65.91</c:v>
                </c:pt>
                <c:pt idx="8">
                  <c:v>62.35</c:v>
                </c:pt>
                <c:pt idx="9">
                  <c:v>62.77</c:v>
                </c:pt>
                <c:pt idx="10">
                  <c:v>62.8</c:v>
                </c:pt>
                <c:pt idx="11">
                  <c:v>61.6</c:v>
                </c:pt>
                <c:pt idx="12">
                  <c:v>62.22</c:v>
                </c:pt>
                <c:pt idx="13">
                  <c:v>63.1</c:v>
                </c:pt>
                <c:pt idx="14">
                  <c:v>65.010000000000005</c:v>
                </c:pt>
                <c:pt idx="15">
                  <c:v>65.39</c:v>
                </c:pt>
                <c:pt idx="16">
                  <c:v>65.900000000000006</c:v>
                </c:pt>
                <c:pt idx="17">
                  <c:v>63.99</c:v>
                </c:pt>
                <c:pt idx="18">
                  <c:v>62.69</c:v>
                </c:pt>
                <c:pt idx="19">
                  <c:v>63.04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0-48DE-BBC8-AB6483C60E20}"/>
            </c:ext>
          </c:extLst>
        </c:ser>
        <c:ser>
          <c:idx val="1"/>
          <c:order val="1"/>
          <c:tx>
            <c:strRef>
              <c:f>'Pivot Data'!$C$54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Data'!$A$55:$A$74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Data'!$C$55:$C$74</c:f>
              <c:numCache>
                <c:formatCode>"$"#,##0.00</c:formatCode>
                <c:ptCount val="20"/>
                <c:pt idx="0">
                  <c:v>67.319999999999993</c:v>
                </c:pt>
                <c:pt idx="1">
                  <c:v>67.66</c:v>
                </c:pt>
                <c:pt idx="2">
                  <c:v>67.27</c:v>
                </c:pt>
                <c:pt idx="3">
                  <c:v>66.95</c:v>
                </c:pt>
                <c:pt idx="4">
                  <c:v>66.599999999999994</c:v>
                </c:pt>
                <c:pt idx="5">
                  <c:v>66.84</c:v>
                </c:pt>
                <c:pt idx="6">
                  <c:v>66.09</c:v>
                </c:pt>
                <c:pt idx="7">
                  <c:v>62.25</c:v>
                </c:pt>
                <c:pt idx="8">
                  <c:v>61.9</c:v>
                </c:pt>
                <c:pt idx="9">
                  <c:v>62.8</c:v>
                </c:pt>
                <c:pt idx="10">
                  <c:v>62.37</c:v>
                </c:pt>
                <c:pt idx="11">
                  <c:v>62.22</c:v>
                </c:pt>
                <c:pt idx="12">
                  <c:v>63.21</c:v>
                </c:pt>
                <c:pt idx="13">
                  <c:v>63.11</c:v>
                </c:pt>
                <c:pt idx="14">
                  <c:v>65.8</c:v>
                </c:pt>
                <c:pt idx="15">
                  <c:v>65.680000000000007</c:v>
                </c:pt>
                <c:pt idx="16">
                  <c:v>64.02</c:v>
                </c:pt>
                <c:pt idx="17">
                  <c:v>63.12</c:v>
                </c:pt>
                <c:pt idx="18">
                  <c:v>62.95</c:v>
                </c:pt>
                <c:pt idx="19">
                  <c:v>61.54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60-48DE-BBC8-AB6483C60E20}"/>
            </c:ext>
          </c:extLst>
        </c:ser>
        <c:ser>
          <c:idx val="2"/>
          <c:order val="2"/>
          <c:tx>
            <c:strRef>
              <c:f>'Pivot Data'!$D$54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Data'!$A$55:$A$74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Data'!$D$55:$D$74</c:f>
              <c:numCache>
                <c:formatCode>0.00%</c:formatCode>
                <c:ptCount val="20"/>
                <c:pt idx="0">
                  <c:v>3.1291908806436262E-3</c:v>
                </c:pt>
                <c:pt idx="1">
                  <c:v>1.4088729016786537E-2</c:v>
                </c:pt>
                <c:pt idx="2">
                  <c:v>-1.0444248308326095E-2</c:v>
                </c:pt>
                <c:pt idx="3">
                  <c:v>-6.9712251557401197E-3</c:v>
                </c:pt>
                <c:pt idx="4">
                  <c:v>4.3733976775749061E-3</c:v>
                </c:pt>
                <c:pt idx="5">
                  <c:v>-5.653079440642598E-3</c:v>
                </c:pt>
                <c:pt idx="6">
                  <c:v>-1.1220825852782765E-2</c:v>
                </c:pt>
                <c:pt idx="7">
                  <c:v>-5.5530268548019977E-2</c:v>
                </c:pt>
                <c:pt idx="8">
                  <c:v>-7.2173215717722984E-3</c:v>
                </c:pt>
                <c:pt idx="9">
                  <c:v>4.7793531942001005E-4</c:v>
                </c:pt>
                <c:pt idx="10">
                  <c:v>-6.8471337579617793E-3</c:v>
                </c:pt>
                <c:pt idx="11">
                  <c:v>1.0064935064935023E-2</c:v>
                </c:pt>
                <c:pt idx="12">
                  <c:v>1.591128254580524E-2</c:v>
                </c:pt>
                <c:pt idx="13">
                  <c:v>1.5847860538824104E-4</c:v>
                </c:pt>
                <c:pt idx="14">
                  <c:v>1.2151976618981571E-2</c:v>
                </c:pt>
                <c:pt idx="15">
                  <c:v>4.4349288882093016E-3</c:v>
                </c:pt>
                <c:pt idx="16">
                  <c:v>-2.8528072837632919E-2</c:v>
                </c:pt>
                <c:pt idx="17">
                  <c:v>-1.3595874355368097E-2</c:v>
                </c:pt>
                <c:pt idx="18">
                  <c:v>4.1473919285373289E-3</c:v>
                </c:pt>
                <c:pt idx="19">
                  <c:v>-2.3794416243654824E-2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60-48DE-BBC8-AB6483C6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361240"/>
        <c:axId val="443359272"/>
      </c:lineChart>
      <c:catAx>
        <c:axId val="443361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59272"/>
        <c:crosses val="autoZero"/>
        <c:auto val="1"/>
        <c:lblAlgn val="ctr"/>
        <c:lblOffset val="100"/>
        <c:noMultiLvlLbl val="0"/>
      </c:catAx>
      <c:valAx>
        <c:axId val="443359272"/>
        <c:scaling>
          <c:orientation val="minMax"/>
          <c:min val="0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361240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[Stock Sheet.xlsx]Pivot Data!PivotTable11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noFill/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Data'!$H$54</c:f>
              <c:strCache>
                <c:ptCount val="1"/>
                <c:pt idx="0">
                  <c:v>Open 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Data'!$G$55:$G$74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Data'!$H$55:$H$74</c:f>
              <c:numCache>
                <c:formatCode>"$"#,##0.00</c:formatCode>
                <c:ptCount val="20"/>
                <c:pt idx="0">
                  <c:v>185.06</c:v>
                </c:pt>
                <c:pt idx="1">
                  <c:v>182.48</c:v>
                </c:pt>
                <c:pt idx="2">
                  <c:v>178.01</c:v>
                </c:pt>
                <c:pt idx="3">
                  <c:v>178</c:v>
                </c:pt>
                <c:pt idx="4">
                  <c:v>174.83</c:v>
                </c:pt>
                <c:pt idx="5">
                  <c:v>177.1</c:v>
                </c:pt>
                <c:pt idx="6">
                  <c:v>176.07</c:v>
                </c:pt>
                <c:pt idx="7">
                  <c:v>170</c:v>
                </c:pt>
                <c:pt idx="8">
                  <c:v>168.78</c:v>
                </c:pt>
                <c:pt idx="9">
                  <c:v>166.97</c:v>
                </c:pt>
                <c:pt idx="10">
                  <c:v>176</c:v>
                </c:pt>
                <c:pt idx="11">
                  <c:v>172.18</c:v>
                </c:pt>
                <c:pt idx="12">
                  <c:v>177.16</c:v>
                </c:pt>
                <c:pt idx="13">
                  <c:v>175.73</c:v>
                </c:pt>
                <c:pt idx="14">
                  <c:v>184.5</c:v>
                </c:pt>
                <c:pt idx="15">
                  <c:v>181.84</c:v>
                </c:pt>
                <c:pt idx="16">
                  <c:v>184.31</c:v>
                </c:pt>
                <c:pt idx="17">
                  <c:v>186.03</c:v>
                </c:pt>
                <c:pt idx="18">
                  <c:v>190.84</c:v>
                </c:pt>
                <c:pt idx="19">
                  <c:v>196.54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8-4373-B6E0-2A7929A87735}"/>
            </c:ext>
          </c:extLst>
        </c:ser>
        <c:ser>
          <c:idx val="1"/>
          <c:order val="1"/>
          <c:tx>
            <c:strRef>
              <c:f>'Pivot Data'!$I$54</c:f>
              <c:strCache>
                <c:ptCount val="1"/>
                <c:pt idx="0">
                  <c:v>Close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Data'!$G$55:$G$74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Data'!$I$55:$I$74</c:f>
              <c:numCache>
                <c:formatCode>"$"#,##0.00</c:formatCode>
                <c:ptCount val="20"/>
                <c:pt idx="0">
                  <c:v>181.93</c:v>
                </c:pt>
                <c:pt idx="1">
                  <c:v>180.4</c:v>
                </c:pt>
                <c:pt idx="2">
                  <c:v>178.56</c:v>
                </c:pt>
                <c:pt idx="3">
                  <c:v>172.7</c:v>
                </c:pt>
                <c:pt idx="4">
                  <c:v>175.2</c:v>
                </c:pt>
                <c:pt idx="5">
                  <c:v>178.68</c:v>
                </c:pt>
                <c:pt idx="6">
                  <c:v>171.24</c:v>
                </c:pt>
                <c:pt idx="7">
                  <c:v>167.52</c:v>
                </c:pt>
                <c:pt idx="8">
                  <c:v>165.17</c:v>
                </c:pt>
                <c:pt idx="9">
                  <c:v>174.4</c:v>
                </c:pt>
                <c:pt idx="10">
                  <c:v>175.75</c:v>
                </c:pt>
                <c:pt idx="11">
                  <c:v>177.39</c:v>
                </c:pt>
                <c:pt idx="12">
                  <c:v>177.64</c:v>
                </c:pt>
                <c:pt idx="13">
                  <c:v>178.1</c:v>
                </c:pt>
                <c:pt idx="14">
                  <c:v>182.08</c:v>
                </c:pt>
                <c:pt idx="15">
                  <c:v>183.91</c:v>
                </c:pt>
                <c:pt idx="16">
                  <c:v>188.63</c:v>
                </c:pt>
                <c:pt idx="17">
                  <c:v>189.31</c:v>
                </c:pt>
                <c:pt idx="18">
                  <c:v>196.51</c:v>
                </c:pt>
                <c:pt idx="19">
                  <c:v>198.87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8-4373-B6E0-2A7929A87735}"/>
            </c:ext>
          </c:extLst>
        </c:ser>
        <c:ser>
          <c:idx val="2"/>
          <c:order val="2"/>
          <c:tx>
            <c:strRef>
              <c:f>'Pivot Data'!$J$54</c:f>
              <c:strCache>
                <c:ptCount val="1"/>
                <c:pt idx="0">
                  <c:v>Pct Change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'Pivot Data'!$G$55:$G$74</c:f>
              <c:strCache>
                <c:ptCount val="20"/>
                <c:pt idx="0">
                  <c:v>17-Mar</c:v>
                </c:pt>
                <c:pt idx="1">
                  <c:v>18-Mar</c:v>
                </c:pt>
                <c:pt idx="2">
                  <c:v>19-Mar</c:v>
                </c:pt>
                <c:pt idx="3">
                  <c:v>20-Mar</c:v>
                </c:pt>
                <c:pt idx="4">
                  <c:v>24-Mar</c:v>
                </c:pt>
                <c:pt idx="5">
                  <c:v>25-Mar</c:v>
                </c:pt>
                <c:pt idx="6">
                  <c:v>26-Mar</c:v>
                </c:pt>
                <c:pt idx="7">
                  <c:v>27-Mar</c:v>
                </c:pt>
                <c:pt idx="8">
                  <c:v>31-Mar</c:v>
                </c:pt>
                <c:pt idx="9">
                  <c:v>1-Apr</c:v>
                </c:pt>
                <c:pt idx="10">
                  <c:v>2-Apr</c:v>
                </c:pt>
                <c:pt idx="11">
                  <c:v>3-Apr</c:v>
                </c:pt>
                <c:pt idx="12">
                  <c:v>7-Apr</c:v>
                </c:pt>
                <c:pt idx="13">
                  <c:v>8-Apr</c:v>
                </c:pt>
                <c:pt idx="14">
                  <c:v>9-Apr</c:v>
                </c:pt>
                <c:pt idx="15">
                  <c:v>10-Apr</c:v>
                </c:pt>
                <c:pt idx="16">
                  <c:v>11-Apr</c:v>
                </c:pt>
                <c:pt idx="17">
                  <c:v>14-Apr</c:v>
                </c:pt>
                <c:pt idx="18">
                  <c:v>15-Apr</c:v>
                </c:pt>
                <c:pt idx="19">
                  <c:v>16-Apr</c:v>
                </c:pt>
              </c:strCache>
            </c:strRef>
          </c:cat>
          <c:val>
            <c:numRef>
              <c:f>'Pivot Data'!$J$55:$J$74</c:f>
              <c:numCache>
                <c:formatCode>0.00%</c:formatCode>
                <c:ptCount val="20"/>
                <c:pt idx="0">
                  <c:v>-1.6913433481033153E-2</c:v>
                </c:pt>
                <c:pt idx="1">
                  <c:v>-1.1398509425690401E-2</c:v>
                </c:pt>
                <c:pt idx="2">
                  <c:v>3.0897140610078727E-3</c:v>
                </c:pt>
                <c:pt idx="3">
                  <c:v>-2.9775280898876468E-2</c:v>
                </c:pt>
                <c:pt idx="4">
                  <c:v>2.1163415889720078E-3</c:v>
                </c:pt>
                <c:pt idx="5">
                  <c:v>8.9215132693394265E-3</c:v>
                </c:pt>
                <c:pt idx="6">
                  <c:v>-2.7432271255750464E-2</c:v>
                </c:pt>
                <c:pt idx="7">
                  <c:v>-1.4588235294117588E-2</c:v>
                </c:pt>
                <c:pt idx="8">
                  <c:v>-2.1388790141012051E-2</c:v>
                </c:pt>
                <c:pt idx="9">
                  <c:v>4.4499011798526722E-2</c:v>
                </c:pt>
                <c:pt idx="10">
                  <c:v>-1.4204545454545455E-3</c:v>
                </c:pt>
                <c:pt idx="11">
                  <c:v>3.0259031246369958E-2</c:v>
                </c:pt>
                <c:pt idx="12">
                  <c:v>2.7094152178820828E-3</c:v>
                </c:pt>
                <c:pt idx="13">
                  <c:v>1.3486598759460563E-2</c:v>
                </c:pt>
                <c:pt idx="14">
                  <c:v>-1.3116531165311585E-2</c:v>
                </c:pt>
                <c:pt idx="15">
                  <c:v>1.1383633963924292E-2</c:v>
                </c:pt>
                <c:pt idx="16">
                  <c:v>2.343877163474577E-2</c:v>
                </c:pt>
                <c:pt idx="17">
                  <c:v>1.7631564801376128E-2</c:v>
                </c:pt>
                <c:pt idx="18">
                  <c:v>2.9710752462795992E-2</c:v>
                </c:pt>
                <c:pt idx="19">
                  <c:v>1.18550931108172E-2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88-4373-B6E0-2A7929A87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629104"/>
        <c:axId val="1177633040"/>
      </c:lineChart>
      <c:catAx>
        <c:axId val="117762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33040"/>
        <c:crosses val="autoZero"/>
        <c:auto val="1"/>
        <c:lblAlgn val="ctr"/>
        <c:lblOffset val="100"/>
        <c:noMultiLvlLbl val="0"/>
      </c:catAx>
      <c:valAx>
        <c:axId val="1177633040"/>
        <c:scaling>
          <c:orientation val="minMax"/>
          <c:min val="0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62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25400" cap="flat" cmpd="sng" algn="ctr">
      <a:solidFill>
        <a:schemeClr val="l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645482</xdr:colOff>
      <xdr:row>13</xdr:row>
      <xdr:rowOff>42251</xdr:rowOff>
    </xdr:from>
    <xdr:to>
      <xdr:col>4</xdr:col>
      <xdr:colOff>466299</xdr:colOff>
      <xdr:row>30</xdr:row>
      <xdr:rowOff>68238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0E5619-FC7E-3EE3-1F3A-0CD4ABB97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477331</xdr:colOff>
      <xdr:row>13</xdr:row>
      <xdr:rowOff>46061</xdr:rowOff>
    </xdr:from>
    <xdr:to>
      <xdr:col>9</xdr:col>
      <xdr:colOff>671015</xdr:colOff>
      <xdr:row>30</xdr:row>
      <xdr:rowOff>90984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CB8051-2BCA-4289-9F28-6FA0EFD7CD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668285</xdr:colOff>
      <xdr:row>13</xdr:row>
      <xdr:rowOff>45493</xdr:rowOff>
    </xdr:from>
    <xdr:to>
      <xdr:col>14</xdr:col>
      <xdr:colOff>693761</xdr:colOff>
      <xdr:row>30</xdr:row>
      <xdr:rowOff>90985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D34FE0-D452-4835-94A1-9C0B17648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103367</xdr:colOff>
      <xdr:row>0</xdr:row>
      <xdr:rowOff>79512</xdr:rowOff>
    </xdr:from>
    <xdr:to>
      <xdr:col>29</xdr:col>
      <xdr:colOff>286248</xdr:colOff>
      <xdr:row>59</xdr:row>
      <xdr:rowOff>190831</xdr:rowOff>
    </xdr:to>
    <xdr:sp macro="" textlink="">
      <xdr:nvSpPr>
        <xdr:cNvPr id="2" name="Rounded Rectangle 1"/>
        <xdr:cNvSpPr/>
      </xdr:nvSpPr>
      <xdr:spPr>
        <a:xfrm>
          <a:off x="1375576" y="79512"/>
          <a:ext cx="17357698" cy="11839493"/>
        </a:xfrm>
        <a:prstGeom prst="roundRect">
          <a:avLst>
            <a:gd name="adj" fmla="val 1010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270344</xdr:colOff>
      <xdr:row>0</xdr:row>
      <xdr:rowOff>198782</xdr:rowOff>
    </xdr:from>
    <xdr:to>
      <xdr:col>29</xdr:col>
      <xdr:colOff>182880</xdr:colOff>
      <xdr:row>5</xdr:row>
      <xdr:rowOff>198782</xdr:rowOff>
    </xdr:to>
    <xdr:sp macro="" textlink="">
      <xdr:nvSpPr>
        <xdr:cNvPr id="4" name="Rectangle 3"/>
        <xdr:cNvSpPr/>
      </xdr:nvSpPr>
      <xdr:spPr>
        <a:xfrm>
          <a:off x="1542553" y="198782"/>
          <a:ext cx="17087353" cy="993913"/>
        </a:xfrm>
        <a:prstGeom prst="rect">
          <a:avLst/>
        </a:prstGeom>
        <a:ln w="25400" cmpd="thickThin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270345</xdr:colOff>
      <xdr:row>6</xdr:row>
      <xdr:rowOff>71560</xdr:rowOff>
    </xdr:from>
    <xdr:to>
      <xdr:col>15</xdr:col>
      <xdr:colOff>516835</xdr:colOff>
      <xdr:row>16</xdr:row>
      <xdr:rowOff>127221</xdr:rowOff>
    </xdr:to>
    <xdr:sp macro="" textlink="">
      <xdr:nvSpPr>
        <xdr:cNvPr id="5" name="Rectangle 4"/>
        <xdr:cNvSpPr/>
      </xdr:nvSpPr>
      <xdr:spPr>
        <a:xfrm>
          <a:off x="1542554" y="1264256"/>
          <a:ext cx="8515846" cy="20434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572495</xdr:colOff>
      <xdr:row>6</xdr:row>
      <xdr:rowOff>71560</xdr:rowOff>
    </xdr:from>
    <xdr:to>
      <xdr:col>29</xdr:col>
      <xdr:colOff>180098</xdr:colOff>
      <xdr:row>16</xdr:row>
      <xdr:rowOff>131990</xdr:rowOff>
    </xdr:to>
    <xdr:sp macro="" textlink="">
      <xdr:nvSpPr>
        <xdr:cNvPr id="6" name="Rectangle 5"/>
        <xdr:cNvSpPr/>
      </xdr:nvSpPr>
      <xdr:spPr>
        <a:xfrm>
          <a:off x="10114060" y="1264256"/>
          <a:ext cx="8513064" cy="20482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270344</xdr:colOff>
      <xdr:row>16</xdr:row>
      <xdr:rowOff>190830</xdr:rowOff>
    </xdr:from>
    <xdr:to>
      <xdr:col>15</xdr:col>
      <xdr:colOff>514052</xdr:colOff>
      <xdr:row>27</xdr:row>
      <xdr:rowOff>52478</xdr:rowOff>
    </xdr:to>
    <xdr:sp macro="" textlink="">
      <xdr:nvSpPr>
        <xdr:cNvPr id="7" name="Rectangle 6"/>
        <xdr:cNvSpPr/>
      </xdr:nvSpPr>
      <xdr:spPr>
        <a:xfrm>
          <a:off x="1542553" y="3371352"/>
          <a:ext cx="8513064" cy="20482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572495</xdr:colOff>
      <xdr:row>16</xdr:row>
      <xdr:rowOff>190830</xdr:rowOff>
    </xdr:from>
    <xdr:to>
      <xdr:col>29</xdr:col>
      <xdr:colOff>180098</xdr:colOff>
      <xdr:row>27</xdr:row>
      <xdr:rowOff>52478</xdr:rowOff>
    </xdr:to>
    <xdr:sp macro="" textlink="">
      <xdr:nvSpPr>
        <xdr:cNvPr id="8" name="Rectangle 7"/>
        <xdr:cNvSpPr/>
      </xdr:nvSpPr>
      <xdr:spPr>
        <a:xfrm>
          <a:off x="10114060" y="3371352"/>
          <a:ext cx="8513064" cy="20482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278297</xdr:colOff>
      <xdr:row>27</xdr:row>
      <xdr:rowOff>103366</xdr:rowOff>
    </xdr:from>
    <xdr:to>
      <xdr:col>15</xdr:col>
      <xdr:colOff>524787</xdr:colOff>
      <xdr:row>37</xdr:row>
      <xdr:rowOff>159026</xdr:rowOff>
    </xdr:to>
    <xdr:sp macro="" textlink="">
      <xdr:nvSpPr>
        <xdr:cNvPr id="9" name="Rectangle 8"/>
        <xdr:cNvSpPr/>
      </xdr:nvSpPr>
      <xdr:spPr>
        <a:xfrm>
          <a:off x="1550506" y="5470496"/>
          <a:ext cx="8515846" cy="204348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580447</xdr:colOff>
      <xdr:row>27</xdr:row>
      <xdr:rowOff>103366</xdr:rowOff>
    </xdr:from>
    <xdr:to>
      <xdr:col>29</xdr:col>
      <xdr:colOff>188050</xdr:colOff>
      <xdr:row>37</xdr:row>
      <xdr:rowOff>163795</xdr:rowOff>
    </xdr:to>
    <xdr:sp macro="" textlink="">
      <xdr:nvSpPr>
        <xdr:cNvPr id="10" name="Rectangle 9"/>
        <xdr:cNvSpPr/>
      </xdr:nvSpPr>
      <xdr:spPr>
        <a:xfrm>
          <a:off x="10122012" y="5470496"/>
          <a:ext cx="8513064" cy="20482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278296</xdr:colOff>
      <xdr:row>38</xdr:row>
      <xdr:rowOff>23853</xdr:rowOff>
    </xdr:from>
    <xdr:to>
      <xdr:col>15</xdr:col>
      <xdr:colOff>522004</xdr:colOff>
      <xdr:row>48</xdr:row>
      <xdr:rowOff>84283</xdr:rowOff>
    </xdr:to>
    <xdr:sp macro="" textlink="">
      <xdr:nvSpPr>
        <xdr:cNvPr id="11" name="Rectangle 10"/>
        <xdr:cNvSpPr/>
      </xdr:nvSpPr>
      <xdr:spPr>
        <a:xfrm>
          <a:off x="1550505" y="7577592"/>
          <a:ext cx="8513064" cy="20482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580447</xdr:colOff>
      <xdr:row>38</xdr:row>
      <xdr:rowOff>23853</xdr:rowOff>
    </xdr:from>
    <xdr:to>
      <xdr:col>29</xdr:col>
      <xdr:colOff>188050</xdr:colOff>
      <xdr:row>48</xdr:row>
      <xdr:rowOff>84283</xdr:rowOff>
    </xdr:to>
    <xdr:sp macro="" textlink="">
      <xdr:nvSpPr>
        <xdr:cNvPr id="12" name="Rectangle 11"/>
        <xdr:cNvSpPr/>
      </xdr:nvSpPr>
      <xdr:spPr>
        <a:xfrm>
          <a:off x="10122012" y="7577592"/>
          <a:ext cx="8513064" cy="20482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286247</xdr:colOff>
      <xdr:row>48</xdr:row>
      <xdr:rowOff>151074</xdr:rowOff>
    </xdr:from>
    <xdr:to>
      <xdr:col>15</xdr:col>
      <xdr:colOff>529955</xdr:colOff>
      <xdr:row>59</xdr:row>
      <xdr:rowOff>12721</xdr:rowOff>
    </xdr:to>
    <xdr:sp macro="" textlink="">
      <xdr:nvSpPr>
        <xdr:cNvPr id="13" name="Rectangle 12"/>
        <xdr:cNvSpPr/>
      </xdr:nvSpPr>
      <xdr:spPr>
        <a:xfrm>
          <a:off x="1558456" y="9692639"/>
          <a:ext cx="8513064" cy="20482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588398</xdr:colOff>
      <xdr:row>48</xdr:row>
      <xdr:rowOff>151074</xdr:rowOff>
    </xdr:from>
    <xdr:to>
      <xdr:col>29</xdr:col>
      <xdr:colOff>196001</xdr:colOff>
      <xdr:row>59</xdr:row>
      <xdr:rowOff>12721</xdr:rowOff>
    </xdr:to>
    <xdr:sp macro="" textlink="">
      <xdr:nvSpPr>
        <xdr:cNvPr id="14" name="Rectangle 13"/>
        <xdr:cNvSpPr/>
      </xdr:nvSpPr>
      <xdr:spPr>
        <a:xfrm>
          <a:off x="10129963" y="9692639"/>
          <a:ext cx="8513064" cy="204825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270344</xdr:colOff>
      <xdr:row>6</xdr:row>
      <xdr:rowOff>71559</xdr:rowOff>
    </xdr:from>
    <xdr:to>
      <xdr:col>15</xdr:col>
      <xdr:colOff>514052</xdr:colOff>
      <xdr:row>16</xdr:row>
      <xdr:rowOff>131989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572493</xdr:colOff>
      <xdr:row>6</xdr:row>
      <xdr:rowOff>71559</xdr:rowOff>
    </xdr:from>
    <xdr:to>
      <xdr:col>29</xdr:col>
      <xdr:colOff>180096</xdr:colOff>
      <xdr:row>16</xdr:row>
      <xdr:rowOff>131989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270343</xdr:colOff>
      <xdr:row>16</xdr:row>
      <xdr:rowOff>190829</xdr:rowOff>
    </xdr:from>
    <xdr:to>
      <xdr:col>15</xdr:col>
      <xdr:colOff>514051</xdr:colOff>
      <xdr:row>27</xdr:row>
      <xdr:rowOff>52477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572495</xdr:colOff>
      <xdr:row>16</xdr:row>
      <xdr:rowOff>190829</xdr:rowOff>
    </xdr:from>
    <xdr:to>
      <xdr:col>29</xdr:col>
      <xdr:colOff>180098</xdr:colOff>
      <xdr:row>27</xdr:row>
      <xdr:rowOff>52477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278297</xdr:colOff>
      <xdr:row>27</xdr:row>
      <xdr:rowOff>103365</xdr:rowOff>
    </xdr:from>
    <xdr:to>
      <xdr:col>15</xdr:col>
      <xdr:colOff>522005</xdr:colOff>
      <xdr:row>37</xdr:row>
      <xdr:rowOff>163794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580446</xdr:colOff>
      <xdr:row>27</xdr:row>
      <xdr:rowOff>103367</xdr:rowOff>
    </xdr:from>
    <xdr:to>
      <xdr:col>29</xdr:col>
      <xdr:colOff>188049</xdr:colOff>
      <xdr:row>37</xdr:row>
      <xdr:rowOff>163796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278295</xdr:colOff>
      <xdr:row>38</xdr:row>
      <xdr:rowOff>23853</xdr:rowOff>
    </xdr:from>
    <xdr:to>
      <xdr:col>15</xdr:col>
      <xdr:colOff>522003</xdr:colOff>
      <xdr:row>48</xdr:row>
      <xdr:rowOff>84283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580446</xdr:colOff>
      <xdr:row>38</xdr:row>
      <xdr:rowOff>23853</xdr:rowOff>
    </xdr:from>
    <xdr:to>
      <xdr:col>29</xdr:col>
      <xdr:colOff>188049</xdr:colOff>
      <xdr:row>48</xdr:row>
      <xdr:rowOff>84283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286247</xdr:colOff>
      <xdr:row>48</xdr:row>
      <xdr:rowOff>151074</xdr:rowOff>
    </xdr:from>
    <xdr:to>
      <xdr:col>15</xdr:col>
      <xdr:colOff>529955</xdr:colOff>
      <xdr:row>59</xdr:row>
      <xdr:rowOff>12721</xdr:rowOff>
    </xdr:to>
    <xdr:graphicFrame macro="">
      <xdr:nvGraphicFramePr>
        <xdr:cNvPr id="23" name="Chart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588398</xdr:colOff>
      <xdr:row>48</xdr:row>
      <xdr:rowOff>135171</xdr:rowOff>
    </xdr:from>
    <xdr:to>
      <xdr:col>29</xdr:col>
      <xdr:colOff>196001</xdr:colOff>
      <xdr:row>58</xdr:row>
      <xdr:rowOff>195601</xdr:rowOff>
    </xdr:to>
    <xdr:graphicFrame macro="">
      <xdr:nvGraphicFramePr>
        <xdr:cNvPr id="24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270344</xdr:colOff>
      <xdr:row>2</xdr:row>
      <xdr:rowOff>7952</xdr:rowOff>
    </xdr:from>
    <xdr:to>
      <xdr:col>29</xdr:col>
      <xdr:colOff>182880</xdr:colOff>
      <xdr:row>5</xdr:row>
      <xdr:rowOff>31805</xdr:rowOff>
    </xdr:to>
    <xdr:sp macro="" textlink="">
      <xdr:nvSpPr>
        <xdr:cNvPr id="25" name="TextBox 24"/>
        <xdr:cNvSpPr txBox="1"/>
      </xdr:nvSpPr>
      <xdr:spPr>
        <a:xfrm>
          <a:off x="1542553" y="405517"/>
          <a:ext cx="17087353" cy="620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>
              <a:solidFill>
                <a:schemeClr val="bg1">
                  <a:lumMod val="9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McLeod Stock</a:t>
          </a:r>
          <a:r>
            <a:rPr lang="en-US" sz="3600" baseline="0">
              <a:solidFill>
                <a:schemeClr val="bg1">
                  <a:lumMod val="9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Portfolio Performance March 17, 2026 - April 16, 2026</a:t>
          </a:r>
          <a:endParaRPr lang="en-US" sz="3600">
            <a:solidFill>
              <a:schemeClr val="bg1">
                <a:lumMod val="95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otts, John" refreshedDate="46129.469364467594" createdVersion="6" refreshedVersion="6" minRefreshableVersion="3" recordCount="20">
  <cacheSource type="worksheet">
    <worksheetSource ref="A1:F21" sheet="FSLY"/>
  </cacheSource>
  <cacheFields count="7">
    <cacheField name="Ticker Name" numFmtId="0">
      <sharedItems count="1">
        <s v="FSLY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21.76" maxValue="34.049999999999997"/>
    </cacheField>
    <cacheField name="Close" numFmtId="165">
      <sharedItems containsSemiMixedTypes="0" containsString="0" containsNumber="1" minValue="20.95" maxValue="33.5"/>
    </cacheField>
    <cacheField name="% Change" numFmtId="10">
      <sharedItems containsSemiMixedTypes="0" containsString="0" containsNumber="1" minValue="-0.23151232511658892" maxValue="0.11860174781523086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otts, John" refreshedDate="46129.472594791667" createdVersion="6" refreshedVersion="6" minRefreshableVersion="3" recordCount="20">
  <cacheSource type="worksheet">
    <worksheetSource ref="A1:F21" sheet="NNOX"/>
  </cacheSource>
  <cacheFields count="7">
    <cacheField name="Ticker Name" numFmtId="0">
      <sharedItems count="1">
        <s v="NNOX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2.2000000000000002" maxValue="2.57"/>
    </cacheField>
    <cacheField name="Close" numFmtId="165">
      <sharedItems containsSemiMixedTypes="0" containsString="0" containsNumber="1" minValue="2.2000000000000002" maxValue="2.6"/>
    </cacheField>
    <cacheField name="% Change" numFmtId="10">
      <sharedItems containsSemiMixedTypes="0" containsString="0" containsNumber="1" minValue="-5.371900826446277E-2" maxValue="4.0160642570280979E-2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otts, John" refreshedDate="46129.473931018518" createdVersion="6" refreshedVersion="6" minRefreshableVersion="3" recordCount="20">
  <cacheSource type="worksheet">
    <worksheetSource ref="A1:F21" sheet="COUR"/>
  </cacheSource>
  <cacheFields count="7">
    <cacheField name="Ticker Name" numFmtId="0">
      <sharedItems count="1">
        <s v="COUR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5.34" maxValue="6.3"/>
    </cacheField>
    <cacheField name="Close" numFmtId="165">
      <sharedItems containsSemiMixedTypes="0" containsString="0" containsNumber="1" minValue="5.36" maxValue="6.15"/>
    </cacheField>
    <cacheField name="% Change" numFmtId="10">
      <sharedItems containsSemiMixedTypes="0" containsString="0" containsNumber="1" minValue="-0.12222222222222216" maxValue="7.6779026217228499E-2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Potts, John" refreshedDate="46129.47525520833" createdVersion="6" refreshedVersion="6" minRefreshableVersion="3" recordCount="20">
  <cacheSource type="worksheet">
    <worksheetSource ref="A1:F21" sheet="EVGO"/>
  </cacheSource>
  <cacheFields count="7">
    <cacheField name="Ticker Name" numFmtId="0">
      <sharedItems count="1">
        <s v="EVGO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1.67" maxValue="2.11"/>
    </cacheField>
    <cacheField name="Close" numFmtId="165">
      <sharedItems containsSemiMixedTypes="0" containsString="0" containsNumber="1" minValue="1.66" maxValue="2.06"/>
    </cacheField>
    <cacheField name="% Change" numFmtId="10">
      <sharedItems containsSemiMixedTypes="0" containsString="0" containsNumber="1" minValue="-5.8536585365853606E-2" maxValue="8.1871345029239845E-2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Potts, John" refreshedDate="46129.47603391204" createdVersion="6" refreshedVersion="6" minRefreshableVersion="3" recordCount="20">
  <cacheSource type="worksheet">
    <worksheetSource ref="A1:F21" sheet="BLDP"/>
  </cacheSource>
  <cacheFields count="7">
    <cacheField name="Ticker Name" numFmtId="0">
      <sharedItems count="1">
        <s v="BLDP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2.3199999999999998" maxValue="2.98"/>
    </cacheField>
    <cacheField name="Close" numFmtId="165">
      <sharedItems containsSemiMixedTypes="0" containsString="0" containsNumber="1" minValue="2.2999999999999998" maxValue="3.07"/>
    </cacheField>
    <cacheField name="% Change" numFmtId="10">
      <sharedItems containsSemiMixedTypes="0" containsString="0" containsNumber="1" minValue="-4.9586776859504175E-2" maxValue="5.5319148936170168E-2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Potts, John" refreshedDate="46129.477038888886" createdVersion="6" refreshedVersion="6" minRefreshableVersion="3" recordCount="20">
  <cacheSource type="worksheet">
    <worksheetSource ref="A1:F21" sheet="RUN"/>
  </cacheSource>
  <cacheFields count="7">
    <cacheField name="Ticker Name" numFmtId="0">
      <sharedItems count="1">
        <s v="RUN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12.19" maxValue="14.34"/>
    </cacheField>
    <cacheField name="Close" numFmtId="165">
      <sharedItems containsSemiMixedTypes="0" containsString="0" containsNumber="1" minValue="12.1" maxValue="14.15"/>
    </cacheField>
    <cacheField name="% Change" numFmtId="10">
      <sharedItems containsSemiMixedTypes="0" containsString="0" containsNumber="1" minValue="-6.3601532567049812E-2" maxValue="8.220271348762978E-2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Potts, John" refreshedDate="46129.477626967593" createdVersion="6" refreshedVersion="6" minRefreshableVersion="3" recordCount="20">
  <cacheSource type="worksheet">
    <worksheetSource ref="A1:F21" sheet="STEM"/>
  </cacheSource>
  <cacheFields count="7">
    <cacheField name="Ticker Name" numFmtId="0">
      <sharedItems count="1">
        <s v="STEM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8.39" maxValue="10.94"/>
    </cacheField>
    <cacheField name="Close" numFmtId="165">
      <sharedItems containsSemiMixedTypes="0" containsString="0" containsNumber="1" minValue="8.25" maxValue="10.9"/>
    </cacheField>
    <cacheField name="% Change" numFmtId="10">
      <sharedItems containsSemiMixedTypes="0" containsString="0" containsNumber="1" minValue="-7.013815090329438E-2" maxValue="4.6136101499423342E-2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Potts, John" refreshedDate="46129.478260185184" createdVersion="6" refreshedVersion="6" minRefreshableVersion="3" recordCount="20">
  <cacheSource type="worksheet">
    <worksheetSource ref="A1:F21" sheet="MNDY"/>
  </cacheSource>
  <cacheFields count="7">
    <cacheField name="Ticker Name" numFmtId="0">
      <sharedItems count="1">
        <s v="MNDY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58.92" maxValue="74.790000000000006"/>
    </cacheField>
    <cacheField name="Close" numFmtId="165">
      <sharedItems containsSemiMixedTypes="0" containsString="0" containsNumber="1" minValue="58.81" maxValue="75.28"/>
    </cacheField>
    <cacheField name="% Change" numFmtId="10">
      <sharedItems containsSemiMixedTypes="0" containsString="0" containsNumber="1" minValue="-7.3672950929268677E-2" maxValue="7.8581126951798974E-2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refreshedBy="Potts, John" refreshedDate="46129.478936921296" createdVersion="6" refreshedVersion="6" minRefreshableVersion="3" recordCount="20">
  <cacheSource type="worksheet">
    <worksheetSource ref="A1:F21" sheet="DXCM"/>
  </cacheSource>
  <cacheFields count="7">
    <cacheField name="Ticker Name" numFmtId="0">
      <sharedItems count="1">
        <s v="DXCM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61.6" maxValue="67.98"/>
    </cacheField>
    <cacheField name="Close" numFmtId="165">
      <sharedItems containsSemiMixedTypes="0" containsString="0" containsNumber="1" minValue="61.54" maxValue="67.66"/>
    </cacheField>
    <cacheField name="% Change" numFmtId="10">
      <sharedItems containsSemiMixedTypes="0" containsString="0" containsNumber="1" minValue="-5.5530268548019977E-2" maxValue="1.591128254580524E-2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refreshedBy="Potts, John" refreshedDate="46129.479578472223" createdVersion="6" refreshedVersion="6" minRefreshableVersion="3" recordCount="20">
  <cacheSource type="worksheet">
    <worksheetSource ref="A1:F21" sheet="NVDA"/>
  </cacheSource>
  <cacheFields count="7">
    <cacheField name="Ticker Name" numFmtId="0">
      <sharedItems count="1">
        <s v="NVDA"/>
      </sharedItems>
    </cacheField>
    <cacheField name="Company" numFmtId="0">
      <sharedItems/>
    </cacheField>
    <cacheField name="Date" numFmtId="14">
      <sharedItems containsSemiMixedTypes="0" containsNonDate="0" containsDate="1" containsString="0" minDate="2026-03-17T00:00:00" maxDate="2026-04-17T00:00:00" count="20">
        <d v="2026-03-17T00:00:00"/>
        <d v="2026-03-18T00:00:00"/>
        <d v="2026-03-19T00:00:00"/>
        <d v="2026-03-20T00:00:00"/>
        <d v="2026-03-24T00:00:00"/>
        <d v="2026-03-25T00:00:00"/>
        <d v="2026-03-26T00:00:00"/>
        <d v="2026-03-27T00:00:00"/>
        <d v="2026-03-31T00:00:00"/>
        <d v="2026-04-01T00:00:00"/>
        <d v="2026-04-02T00:00:00"/>
        <d v="2026-04-03T00:00:00"/>
        <d v="2026-04-07T00:00:00"/>
        <d v="2026-04-08T00:00:00"/>
        <d v="2026-04-09T00:00:00"/>
        <d v="2026-04-10T00:00:00"/>
        <d v="2026-04-11T00:00:00"/>
        <d v="2026-04-14T00:00:00"/>
        <d v="2026-04-15T00:00:00"/>
        <d v="2026-04-16T00:00:00"/>
      </sharedItems>
      <fieldGroup par="6" base="2">
        <rangePr groupBy="days" startDate="2026-03-17T00:00:00" endDate="2026-04-17T00:00:00"/>
        <groupItems count="368">
          <s v="&lt;3/17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7/2026"/>
        </groupItems>
      </fieldGroup>
    </cacheField>
    <cacheField name="Open" numFmtId="165">
      <sharedItems containsSemiMixedTypes="0" containsString="0" containsNumber="1" minValue="166.97" maxValue="196.54"/>
    </cacheField>
    <cacheField name="Close" numFmtId="165">
      <sharedItems containsSemiMixedTypes="0" containsString="0" containsNumber="1" minValue="165.17" maxValue="198.87"/>
    </cacheField>
    <cacheField name="% Change" numFmtId="10">
      <sharedItems containsSemiMixedTypes="0" containsString="0" containsNumber="1" minValue="-2.9775280898876468E-2" maxValue="4.4499011798526722E-2"/>
    </cacheField>
    <cacheField name="Months" numFmtId="0" databaseField="0">
      <fieldGroup base="2">
        <rangePr groupBy="months" startDate="2026-03-17T00:00:00" endDate="2026-04-17T00:00:00"/>
        <groupItems count="14">
          <s v="&lt;3/17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s v="Fastly Inc."/>
    <x v="0"/>
    <n v="22.27"/>
    <n v="24.18"/>
    <n v="8.5765603951504274E-2"/>
  </r>
  <r>
    <x v="0"/>
    <s v="Fastly Inc."/>
    <x v="1"/>
    <n v="24.03"/>
    <n v="26.88"/>
    <n v="0.11860174781523086"/>
  </r>
  <r>
    <x v="0"/>
    <s v="Fastly Inc."/>
    <x v="2"/>
    <n v="26.57"/>
    <n v="26.45"/>
    <n v="-4.5163718479488517E-3"/>
  </r>
  <r>
    <x v="0"/>
    <s v="Fastly Inc."/>
    <x v="3"/>
    <n v="26.48"/>
    <n v="25.2"/>
    <n v="-4.8338368580060465E-2"/>
  </r>
  <r>
    <x v="0"/>
    <s v="Fastly Inc."/>
    <x v="4"/>
    <n v="28.55"/>
    <n v="28.2"/>
    <n v="-1.2259194395796896E-2"/>
  </r>
  <r>
    <x v="0"/>
    <s v="Fastly Inc."/>
    <x v="5"/>
    <n v="29.47"/>
    <n v="29.79"/>
    <n v="1.0858500169664075E-2"/>
  </r>
  <r>
    <x v="0"/>
    <s v="Fastly Inc."/>
    <x v="6"/>
    <n v="29.5"/>
    <n v="28.59"/>
    <n v="-3.084745762711865E-2"/>
  </r>
  <r>
    <x v="0"/>
    <s v="Fastly Inc."/>
    <x v="7"/>
    <n v="28.1"/>
    <n v="27.43"/>
    <n v="-2.3843416370106819E-2"/>
  </r>
  <r>
    <x v="0"/>
    <s v="Fastly Inc."/>
    <x v="8"/>
    <n v="28.43"/>
    <n v="25.52"/>
    <n v="-0.10235666549419628"/>
  </r>
  <r>
    <x v="0"/>
    <s v="Fastly Inc."/>
    <x v="9"/>
    <n v="26.08"/>
    <n v="29.06"/>
    <n v="0.11426380368098162"/>
  </r>
  <r>
    <x v="0"/>
    <s v="Fastly Inc."/>
    <x v="10"/>
    <n v="29.98"/>
    <n v="32.36"/>
    <n v="7.9386257505003305E-2"/>
  </r>
  <r>
    <x v="0"/>
    <s v="Fastly Inc."/>
    <x v="11"/>
    <n v="30.8"/>
    <n v="33.5"/>
    <n v="8.7662337662337636E-2"/>
  </r>
  <r>
    <x v="0"/>
    <s v="Fastly Inc."/>
    <x v="12"/>
    <n v="33.94"/>
    <n v="31.54"/>
    <n v="-7.0713022981732432E-2"/>
  </r>
  <r>
    <x v="0"/>
    <s v="Fastly Inc."/>
    <x v="13"/>
    <n v="31.63"/>
    <n v="31.6"/>
    <n v="-9.4846664558955374E-4"/>
  </r>
  <r>
    <x v="0"/>
    <s v="Fastly Inc."/>
    <x v="14"/>
    <n v="34.049999999999997"/>
    <n v="32.75"/>
    <n v="-3.8179148311306824E-2"/>
  </r>
  <r>
    <x v="0"/>
    <s v="Fastly Inc."/>
    <x v="15"/>
    <n v="32.74"/>
    <n v="29.46"/>
    <n v="-0.10018326206475263"/>
  </r>
  <r>
    <x v="0"/>
    <s v="Fastly Inc."/>
    <x v="16"/>
    <n v="30.02"/>
    <n v="23.07"/>
    <n v="-0.23151232511658892"/>
  </r>
  <r>
    <x v="0"/>
    <s v="Fastly Inc."/>
    <x v="17"/>
    <n v="23.1"/>
    <n v="24.37"/>
    <n v="5.497835497835496E-2"/>
  </r>
  <r>
    <x v="0"/>
    <s v="Fastly Inc."/>
    <x v="18"/>
    <n v="24.52"/>
    <n v="20.95"/>
    <n v="-0.14559543230016314"/>
  </r>
  <r>
    <x v="0"/>
    <s v="Fastly Inc."/>
    <x v="19"/>
    <n v="21.76"/>
    <n v="23.38"/>
    <n v="7.444852941176458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">
  <r>
    <x v="0"/>
    <s v="Nano-X Imaging Ltd."/>
    <x v="0"/>
    <n v="2.57"/>
    <n v="2.6"/>
    <n v="1.167315175097286E-2"/>
  </r>
  <r>
    <x v="0"/>
    <s v="Nano-X Imaging Ltd."/>
    <x v="1"/>
    <n v="2.56"/>
    <n v="2.46"/>
    <n v="-3.9062500000000035E-2"/>
  </r>
  <r>
    <x v="0"/>
    <s v="Nano-X Imaging Ltd."/>
    <x v="2"/>
    <n v="2.42"/>
    <n v="2.5099999999999998"/>
    <n v="3.7190082644628045E-2"/>
  </r>
  <r>
    <x v="0"/>
    <s v="Nano-X Imaging Ltd."/>
    <x v="3"/>
    <n v="2.5"/>
    <n v="2.41"/>
    <n v="-3.5999999999999942E-2"/>
  </r>
  <r>
    <x v="0"/>
    <s v="Nano-X Imaging Ltd."/>
    <x v="4"/>
    <n v="2.4"/>
    <n v="2.4"/>
    <n v="0"/>
  </r>
  <r>
    <x v="0"/>
    <s v="Nano-X Imaging Ltd."/>
    <x v="5"/>
    <n v="2.42"/>
    <n v="2.29"/>
    <n v="-5.371900826446277E-2"/>
  </r>
  <r>
    <x v="0"/>
    <s v="Nano-X Imaging Ltd."/>
    <x v="6"/>
    <n v="2.27"/>
    <n v="2.27"/>
    <n v="0"/>
  </r>
  <r>
    <x v="0"/>
    <s v="Nano-X Imaging Ltd."/>
    <x v="7"/>
    <n v="2.2799999999999998"/>
    <n v="2.21"/>
    <n v="-3.0701754385964845E-2"/>
  </r>
  <r>
    <x v="0"/>
    <s v="Nano-X Imaging Ltd."/>
    <x v="8"/>
    <n v="2.2200000000000002"/>
    <n v="2.2000000000000002"/>
    <n v="-9.0090090090090159E-3"/>
  </r>
  <r>
    <x v="0"/>
    <s v="Nano-X Imaging Ltd."/>
    <x v="9"/>
    <n v="2.2000000000000002"/>
    <n v="2.27"/>
    <n v="3.1818181818181746E-2"/>
  </r>
  <r>
    <x v="0"/>
    <s v="Nano-X Imaging Ltd."/>
    <x v="10"/>
    <n v="2.34"/>
    <n v="2.41"/>
    <n v="2.9914529914530037E-2"/>
  </r>
  <r>
    <x v="0"/>
    <s v="Nano-X Imaging Ltd."/>
    <x v="11"/>
    <n v="2.37"/>
    <n v="2.41"/>
    <n v="1.6877637130801704E-2"/>
  </r>
  <r>
    <x v="0"/>
    <s v="Nano-X Imaging Ltd."/>
    <x v="12"/>
    <n v="2.44"/>
    <n v="2.37"/>
    <n v="-2.8688524590163869E-2"/>
  </r>
  <r>
    <x v="0"/>
    <s v="Nano-X Imaging Ltd."/>
    <x v="13"/>
    <n v="2.35"/>
    <n v="2.2999999999999998"/>
    <n v="-2.1276595744680965E-2"/>
  </r>
  <r>
    <x v="0"/>
    <s v="Nano-X Imaging Ltd."/>
    <x v="14"/>
    <n v="2.41"/>
    <n v="2.33"/>
    <n v="-3.3195020746887995E-2"/>
  </r>
  <r>
    <x v="0"/>
    <s v="Nano-X Imaging Ltd."/>
    <x v="15"/>
    <n v="2.31"/>
    <n v="2.3199999999999998"/>
    <n v="4.3290043290042362E-3"/>
  </r>
  <r>
    <x v="0"/>
    <s v="Nano-X Imaging Ltd."/>
    <x v="16"/>
    <n v="2.34"/>
    <n v="2.27"/>
    <n v="-2.9914529914529846E-2"/>
  </r>
  <r>
    <x v="0"/>
    <s v="Nano-X Imaging Ltd."/>
    <x v="17"/>
    <n v="2.29"/>
    <n v="2.38"/>
    <n v="3.9301310043668061E-2"/>
  </r>
  <r>
    <x v="0"/>
    <s v="Nano-X Imaging Ltd."/>
    <x v="18"/>
    <n v="2.4500000000000002"/>
    <n v="2.4700000000000002"/>
    <n v="8.1632653061224549E-3"/>
  </r>
  <r>
    <x v="0"/>
    <s v="Nano-X Imaging Ltd."/>
    <x v="19"/>
    <n v="2.4900000000000002"/>
    <n v="2.59"/>
    <n v="4.0160642570280979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0">
  <r>
    <x v="0"/>
    <s v="Coursera Inc."/>
    <x v="0"/>
    <n v="6.1"/>
    <n v="6.07"/>
    <n v="-4.9180327868851414E-3"/>
  </r>
  <r>
    <x v="0"/>
    <s v="Coursera Inc."/>
    <x v="1"/>
    <n v="5.96"/>
    <n v="5.86"/>
    <n v="-1.6778523489932827E-2"/>
  </r>
  <r>
    <x v="0"/>
    <s v="Coursera Inc."/>
    <x v="2"/>
    <n v="5.81"/>
    <n v="6.04"/>
    <n v="3.9586919104991472E-2"/>
  </r>
  <r>
    <x v="0"/>
    <s v="Coursera Inc."/>
    <x v="3"/>
    <n v="6"/>
    <n v="5.84"/>
    <n v="-2.6666666666666689E-2"/>
  </r>
  <r>
    <x v="0"/>
    <s v="Coursera Inc."/>
    <x v="4"/>
    <n v="5.87"/>
    <n v="5.69"/>
    <n v="-3.0664395229982915E-2"/>
  </r>
  <r>
    <x v="0"/>
    <s v="Coursera Inc."/>
    <x v="5"/>
    <n v="5.81"/>
    <n v="5.87"/>
    <n v="1.0327022375215232E-2"/>
  </r>
  <r>
    <x v="0"/>
    <s v="Coursera Inc."/>
    <x v="6"/>
    <n v="5.8"/>
    <n v="5.84"/>
    <n v="6.896551724137937E-3"/>
  </r>
  <r>
    <x v="0"/>
    <s v="Coursera Inc."/>
    <x v="7"/>
    <n v="5.74"/>
    <n v="5.51"/>
    <n v="-4.0069686411149899E-2"/>
  </r>
  <r>
    <x v="0"/>
    <s v="Coursera Inc."/>
    <x v="8"/>
    <n v="5.59"/>
    <n v="5.73"/>
    <n v="2.5044722719141425E-2"/>
  </r>
  <r>
    <x v="0"/>
    <s v="Coursera Inc."/>
    <x v="9"/>
    <n v="5.8"/>
    <n v="5.82"/>
    <n v="3.4482758620690453E-3"/>
  </r>
  <r>
    <x v="0"/>
    <s v="Coursera Inc."/>
    <x v="10"/>
    <n v="5.78"/>
    <n v="5.85"/>
    <n v="1.2110726643598512E-2"/>
  </r>
  <r>
    <x v="0"/>
    <s v="Coursera Inc."/>
    <x v="11"/>
    <n v="5.75"/>
    <n v="5.91"/>
    <n v="2.7826086956521764E-2"/>
  </r>
  <r>
    <x v="0"/>
    <s v="Coursera Inc."/>
    <x v="12"/>
    <n v="5.85"/>
    <n v="6.01"/>
    <n v="2.7350427350427375E-2"/>
  </r>
  <r>
    <x v="0"/>
    <s v="Coursera Inc."/>
    <x v="13"/>
    <n v="6"/>
    <n v="6.04"/>
    <n v="6.6666666666666723E-3"/>
  </r>
  <r>
    <x v="0"/>
    <s v="Coursera Inc."/>
    <x v="14"/>
    <n v="6.3"/>
    <n v="5.53"/>
    <n v="-0.12222222222222216"/>
  </r>
  <r>
    <x v="0"/>
    <s v="Coursera Inc."/>
    <x v="15"/>
    <n v="5.61"/>
    <n v="5.6"/>
    <n v="-1.7825311942960204E-3"/>
  </r>
  <r>
    <x v="0"/>
    <s v="Coursera Inc."/>
    <x v="16"/>
    <n v="5.61"/>
    <n v="5.36"/>
    <n v="-4.4563279857397504E-2"/>
  </r>
  <r>
    <x v="0"/>
    <s v="Coursera Inc."/>
    <x v="17"/>
    <n v="5.34"/>
    <n v="5.75"/>
    <n v="7.6779026217228499E-2"/>
  </r>
  <r>
    <x v="0"/>
    <s v="Coursera Inc."/>
    <x v="18"/>
    <n v="5.74"/>
    <n v="5.94"/>
    <n v="3.4843205574912925E-2"/>
  </r>
  <r>
    <x v="0"/>
    <s v="Coursera Inc."/>
    <x v="19"/>
    <n v="6.03"/>
    <n v="6.15"/>
    <n v="1.9900497512437828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0">
  <r>
    <x v="0"/>
    <s v="EVgo Inc."/>
    <x v="0"/>
    <n v="2.11"/>
    <n v="2.06"/>
    <n v="-2.3696682464454895E-2"/>
  </r>
  <r>
    <x v="0"/>
    <s v="EVgo Inc."/>
    <x v="1"/>
    <n v="2.0499999999999998"/>
    <n v="1.93"/>
    <n v="-5.8536585365853606E-2"/>
  </r>
  <r>
    <x v="0"/>
    <s v="EVgo Inc."/>
    <x v="2"/>
    <n v="1.9"/>
    <n v="2.0499999999999998"/>
    <n v="7.8947368421052586E-2"/>
  </r>
  <r>
    <x v="0"/>
    <s v="EVgo Inc."/>
    <x v="3"/>
    <n v="2.0499999999999998"/>
    <n v="1.94"/>
    <n v="-5.3658536585365797E-2"/>
  </r>
  <r>
    <x v="0"/>
    <s v="EVgo Inc."/>
    <x v="4"/>
    <n v="1.93"/>
    <n v="1.87"/>
    <n v="-3.1088082901554317E-2"/>
  </r>
  <r>
    <x v="0"/>
    <s v="EVgo Inc."/>
    <x v="5"/>
    <n v="1.85"/>
    <n v="1.81"/>
    <n v="-2.162162162162164E-2"/>
  </r>
  <r>
    <x v="0"/>
    <s v="EVgo Inc."/>
    <x v="6"/>
    <n v="1.77"/>
    <n v="1.75"/>
    <n v="-1.1299435028248598E-2"/>
  </r>
  <r>
    <x v="0"/>
    <s v="EVgo Inc."/>
    <x v="7"/>
    <n v="1.72"/>
    <n v="1.72"/>
    <n v="0"/>
  </r>
  <r>
    <x v="0"/>
    <s v="EVgo Inc."/>
    <x v="8"/>
    <n v="1.73"/>
    <n v="1.66"/>
    <n v="-4.0462427745664775E-2"/>
  </r>
  <r>
    <x v="0"/>
    <s v="EVgo Inc."/>
    <x v="9"/>
    <n v="1.67"/>
    <n v="1.72"/>
    <n v="2.994011976047907E-2"/>
  </r>
  <r>
    <x v="0"/>
    <s v="EVgo Inc."/>
    <x v="10"/>
    <n v="1.75"/>
    <n v="1.77"/>
    <n v="1.1428571428571439E-2"/>
  </r>
  <r>
    <x v="0"/>
    <s v="EVgo Inc."/>
    <x v="11"/>
    <n v="1.72"/>
    <n v="1.71"/>
    <n v="-5.8139534883720981E-3"/>
  </r>
  <r>
    <x v="0"/>
    <s v="EVgo Inc."/>
    <x v="12"/>
    <n v="1.71"/>
    <n v="1.85"/>
    <n v="8.1871345029239845E-2"/>
  </r>
  <r>
    <x v="0"/>
    <s v="EVgo Inc."/>
    <x v="13"/>
    <n v="1.82"/>
    <n v="1.8"/>
    <n v="-1.0989010989010999E-2"/>
  </r>
  <r>
    <x v="0"/>
    <s v="EVgo Inc."/>
    <x v="14"/>
    <n v="1.94"/>
    <n v="1.91"/>
    <n v="-1.546391752577321E-2"/>
  </r>
  <r>
    <x v="0"/>
    <s v="EVgo Inc."/>
    <x v="15"/>
    <n v="1.88"/>
    <n v="2"/>
    <n v="6.3829787234042618E-2"/>
  </r>
  <r>
    <x v="0"/>
    <s v="EVgo Inc."/>
    <x v="16"/>
    <n v="2.0299999999999998"/>
    <n v="1.94"/>
    <n v="-4.433497536945806E-2"/>
  </r>
  <r>
    <x v="0"/>
    <s v="EVgo Inc."/>
    <x v="17"/>
    <n v="1.9"/>
    <n v="1.93"/>
    <n v="1.5789473684210541E-2"/>
  </r>
  <r>
    <x v="0"/>
    <s v="EVgo Inc."/>
    <x v="18"/>
    <n v="1.98"/>
    <n v="2.0499999999999998"/>
    <n v="3.5353535353535276E-2"/>
  </r>
  <r>
    <x v="0"/>
    <s v="EVgo Inc."/>
    <x v="19"/>
    <n v="2.0499999999999998"/>
    <n v="2.06"/>
    <n v="4.8780487804879176E-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20">
  <r>
    <x v="0"/>
    <s v="Ballard Power Systems Inc."/>
    <x v="0"/>
    <n v="2.56"/>
    <n v="2.68"/>
    <n v="4.6875000000000042E-2"/>
  </r>
  <r>
    <x v="0"/>
    <s v="Ballard Power Systems Inc."/>
    <x v="1"/>
    <n v="2.64"/>
    <n v="2.61"/>
    <n v="-1.1363636363636458E-2"/>
  </r>
  <r>
    <x v="0"/>
    <s v="Ballard Power Systems Inc."/>
    <x v="2"/>
    <n v="2.5099999999999998"/>
    <n v="2.48"/>
    <n v="-1.1952191235059684E-2"/>
  </r>
  <r>
    <x v="0"/>
    <s v="Ballard Power Systems Inc."/>
    <x v="3"/>
    <n v="2.4700000000000002"/>
    <n v="2.41"/>
    <n v="-2.4291497975708523E-2"/>
  </r>
  <r>
    <x v="0"/>
    <s v="Ballard Power Systems Inc."/>
    <x v="4"/>
    <n v="2.4700000000000002"/>
    <n v="2.46"/>
    <n v="-4.0485829959515099E-3"/>
  </r>
  <r>
    <x v="0"/>
    <s v="Ballard Power Systems Inc."/>
    <x v="5"/>
    <n v="2.5"/>
    <n v="2.54"/>
    <n v="1.6000000000000014E-2"/>
  </r>
  <r>
    <x v="0"/>
    <s v="Ballard Power Systems Inc."/>
    <x v="6"/>
    <n v="2.4900000000000002"/>
    <n v="2.4500000000000002"/>
    <n v="-1.6064257028112462E-2"/>
  </r>
  <r>
    <x v="0"/>
    <s v="Ballard Power Systems Inc."/>
    <x v="7"/>
    <n v="2.41"/>
    <n v="2.39"/>
    <n v="-8.2987551867219986E-3"/>
  </r>
  <r>
    <x v="0"/>
    <s v="Ballard Power Systems Inc."/>
    <x v="8"/>
    <n v="2.42"/>
    <n v="2.2999999999999998"/>
    <n v="-4.9586776859504175E-2"/>
  </r>
  <r>
    <x v="0"/>
    <s v="Ballard Power Systems Inc."/>
    <x v="9"/>
    <n v="2.3199999999999998"/>
    <n v="2.42"/>
    <n v="4.3103448275862113E-2"/>
  </r>
  <r>
    <x v="0"/>
    <s v="Ballard Power Systems Inc."/>
    <x v="10"/>
    <n v="2.44"/>
    <n v="2.41"/>
    <n v="-1.2295081967213035E-2"/>
  </r>
  <r>
    <x v="0"/>
    <s v="Ballard Power Systems Inc."/>
    <x v="11"/>
    <n v="2.35"/>
    <n v="2.48"/>
    <n v="5.5319148936170168E-2"/>
  </r>
  <r>
    <x v="0"/>
    <s v="Ballard Power Systems Inc."/>
    <x v="12"/>
    <n v="2.5"/>
    <n v="2.5299999999999998"/>
    <n v="1.1999999999999922E-2"/>
  </r>
  <r>
    <x v="0"/>
    <s v="Ballard Power Systems Inc."/>
    <x v="13"/>
    <n v="2.5099999999999998"/>
    <n v="2.4"/>
    <n v="-4.3824701195219078E-2"/>
  </r>
  <r>
    <x v="0"/>
    <s v="Ballard Power Systems Inc."/>
    <x v="14"/>
    <n v="2.5499999999999998"/>
    <n v="2.6"/>
    <n v="1.9607843137255009E-2"/>
  </r>
  <r>
    <x v="0"/>
    <s v="Ballard Power Systems Inc."/>
    <x v="15"/>
    <n v="2.58"/>
    <n v="2.64"/>
    <n v="2.3255813953488393E-2"/>
  </r>
  <r>
    <x v="0"/>
    <s v="Ballard Power Systems Inc."/>
    <x v="16"/>
    <n v="2.67"/>
    <n v="2.81"/>
    <n v="5.2434456928838996E-2"/>
  </r>
  <r>
    <x v="0"/>
    <s v="Ballard Power Systems Inc."/>
    <x v="17"/>
    <n v="2.78"/>
    <n v="2.7"/>
    <n v="-2.8776978417266053E-2"/>
  </r>
  <r>
    <x v="0"/>
    <s v="Ballard Power Systems Inc."/>
    <x v="18"/>
    <n v="2.81"/>
    <n v="2.86"/>
    <n v="1.7793594306049758E-2"/>
  </r>
  <r>
    <x v="0"/>
    <s v="Ballard Power Systems Inc."/>
    <x v="19"/>
    <n v="2.98"/>
    <n v="3.07"/>
    <n v="3.0201342281879148E-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0">
  <r>
    <x v="0"/>
    <s v="Sunrun Inc."/>
    <x v="0"/>
    <n v="12.93"/>
    <n v="13.29"/>
    <n v="2.7842227378190212E-2"/>
  </r>
  <r>
    <x v="0"/>
    <s v="Sunrun Inc."/>
    <x v="1"/>
    <n v="13.37"/>
    <n v="12.79"/>
    <n v="-4.3380703066566946E-2"/>
  </r>
  <r>
    <x v="0"/>
    <s v="Sunrun Inc."/>
    <x v="2"/>
    <n v="12.52"/>
    <n v="13.08"/>
    <n v="4.4728434504792372E-2"/>
  </r>
  <r>
    <x v="0"/>
    <s v="Sunrun Inc."/>
    <x v="3"/>
    <n v="13.05"/>
    <n v="12.22"/>
    <n v="-6.3601532567049812E-2"/>
  </r>
  <r>
    <x v="0"/>
    <s v="Sunrun Inc."/>
    <x v="4"/>
    <n v="12.42"/>
    <n v="12.75"/>
    <n v="2.6570048309178751E-2"/>
  </r>
  <r>
    <x v="0"/>
    <s v="Sunrun Inc."/>
    <x v="5"/>
    <n v="12.95"/>
    <n v="13.04"/>
    <n v="6.949806949806939E-3"/>
  </r>
  <r>
    <x v="0"/>
    <s v="Sunrun Inc."/>
    <x v="6"/>
    <n v="12.74"/>
    <n v="12.4"/>
    <n v="-2.6687598116169532E-2"/>
  </r>
  <r>
    <x v="0"/>
    <s v="Sunrun Inc."/>
    <x v="7"/>
    <n v="12.19"/>
    <n v="12.6"/>
    <n v="3.3634126333059899E-2"/>
  </r>
  <r>
    <x v="0"/>
    <s v="Sunrun Inc."/>
    <x v="8"/>
    <n v="12.89"/>
    <n v="12.14"/>
    <n v="-5.8184639255236613E-2"/>
  </r>
  <r>
    <x v="0"/>
    <s v="Sunrun Inc."/>
    <x v="9"/>
    <n v="12.53"/>
    <n v="13.56"/>
    <n v="8.220271348762978E-2"/>
  </r>
  <r>
    <x v="0"/>
    <s v="Sunrun Inc."/>
    <x v="10"/>
    <n v="13.8"/>
    <n v="14.15"/>
    <n v="2.5362318840579684E-2"/>
  </r>
  <r>
    <x v="0"/>
    <s v="Sunrun Inc."/>
    <x v="11"/>
    <n v="13.63"/>
    <n v="13.5"/>
    <n v="-9.537784299339748E-3"/>
  </r>
  <r>
    <x v="0"/>
    <s v="Sunrun Inc."/>
    <x v="12"/>
    <n v="13.42"/>
    <n v="13.23"/>
    <n v="-1.4157973174366579E-2"/>
  </r>
  <r>
    <x v="0"/>
    <s v="Sunrun Inc."/>
    <x v="13"/>
    <n v="13.05"/>
    <n v="13.22"/>
    <n v="1.3026819923371642E-2"/>
  </r>
  <r>
    <x v="0"/>
    <s v="Sunrun Inc."/>
    <x v="14"/>
    <n v="14.34"/>
    <n v="13.87"/>
    <n v="-3.2775453277545372E-2"/>
  </r>
  <r>
    <x v="0"/>
    <s v="Sunrun Inc."/>
    <x v="15"/>
    <n v="13.7"/>
    <n v="13.33"/>
    <n v="-2.7007299270072938E-2"/>
  </r>
  <r>
    <x v="0"/>
    <s v="Sunrun Inc."/>
    <x v="16"/>
    <n v="13.4"/>
    <n v="13.28"/>
    <n v="-8.9552238805970883E-3"/>
  </r>
  <r>
    <x v="0"/>
    <s v="Sunrun Inc."/>
    <x v="17"/>
    <n v="13.09"/>
    <n v="12.76"/>
    <n v="-2.5210084033613449E-2"/>
  </r>
  <r>
    <x v="0"/>
    <s v="Sunrun Inc."/>
    <x v="18"/>
    <n v="13.05"/>
    <n v="12.45"/>
    <n v="-4.5977011494252977E-2"/>
  </r>
  <r>
    <x v="0"/>
    <s v="Sunrun Inc."/>
    <x v="19"/>
    <n v="12.59"/>
    <n v="12.1"/>
    <n v="-3.8919777601270869E-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20">
  <r>
    <x v="0"/>
    <s v="Stem Inc."/>
    <x v="0"/>
    <n v="10.94"/>
    <n v="10.9"/>
    <n v="-3.6563071297988255E-3"/>
  </r>
  <r>
    <x v="0"/>
    <s v="Stem Inc."/>
    <x v="1"/>
    <n v="10.66"/>
    <n v="10.59"/>
    <n v="-6.5666041275797638E-3"/>
  </r>
  <r>
    <x v="0"/>
    <s v="Stem Inc."/>
    <x v="2"/>
    <n v="10.31"/>
    <n v="10.46"/>
    <n v="1.4548981571290044E-2"/>
  </r>
  <r>
    <x v="0"/>
    <s v="Stem Inc."/>
    <x v="3"/>
    <n v="10.42"/>
    <n v="9.6999999999999993"/>
    <n v="-6.9097888675623859E-2"/>
  </r>
  <r>
    <x v="0"/>
    <s v="Stem Inc."/>
    <x v="4"/>
    <n v="9.99"/>
    <n v="9.99"/>
    <n v="0"/>
  </r>
  <r>
    <x v="0"/>
    <s v="Stem Inc."/>
    <x v="5"/>
    <n v="10.1"/>
    <n v="10.47"/>
    <n v="3.6633663366336736E-2"/>
  </r>
  <r>
    <x v="0"/>
    <s v="Stem Inc."/>
    <x v="6"/>
    <n v="10.220000000000001"/>
    <n v="9.7200000000000006"/>
    <n v="-4.8923679060665359E-2"/>
  </r>
  <r>
    <x v="0"/>
    <s v="Stem Inc."/>
    <x v="7"/>
    <n v="9.41"/>
    <n v="8.75"/>
    <n v="-7.013815090329438E-2"/>
  </r>
  <r>
    <x v="0"/>
    <s v="Stem Inc."/>
    <x v="8"/>
    <n v="8.7899999999999991"/>
    <n v="8.25"/>
    <n v="-6.1433447098976017E-2"/>
  </r>
  <r>
    <x v="0"/>
    <s v="Stem Inc."/>
    <x v="9"/>
    <n v="8.4700000000000006"/>
    <n v="8.84"/>
    <n v="4.3683589138134499E-2"/>
  </r>
  <r>
    <x v="0"/>
    <s v="Stem Inc."/>
    <x v="10"/>
    <n v="8.94"/>
    <n v="8.83"/>
    <n v="-1.2304250559284054E-2"/>
  </r>
  <r>
    <x v="0"/>
    <s v="Stem Inc."/>
    <x v="11"/>
    <n v="8.39"/>
    <n v="8.66"/>
    <n v="3.2181168057210913E-2"/>
  </r>
  <r>
    <x v="0"/>
    <s v="Stem Inc."/>
    <x v="12"/>
    <n v="8.67"/>
    <n v="9.07"/>
    <n v="4.6136101499423342E-2"/>
  </r>
  <r>
    <x v="0"/>
    <s v="Stem Inc."/>
    <x v="13"/>
    <n v="8.8800000000000008"/>
    <n v="8.81"/>
    <n v="-7.8828828828829134E-3"/>
  </r>
  <r>
    <x v="0"/>
    <s v="Stem Inc."/>
    <x v="14"/>
    <n v="9.5399999999999991"/>
    <n v="9.68"/>
    <n v="1.4675052410901529E-2"/>
  </r>
  <r>
    <x v="0"/>
    <s v="Stem Inc."/>
    <x v="15"/>
    <n v="9.4"/>
    <n v="9.73"/>
    <n v="3.5106382978723413E-2"/>
  </r>
  <r>
    <x v="0"/>
    <s v="Stem Inc."/>
    <x v="16"/>
    <n v="9.8000000000000007"/>
    <n v="9.42"/>
    <n v="-3.8775510204081709E-2"/>
  </r>
  <r>
    <x v="0"/>
    <s v="Stem Inc."/>
    <x v="17"/>
    <n v="9.25"/>
    <n v="9.65"/>
    <n v="4.324324324324328E-2"/>
  </r>
  <r>
    <x v="0"/>
    <s v="Stem Inc."/>
    <x v="18"/>
    <n v="10"/>
    <n v="10.35"/>
    <n v="3.4999999999999962E-2"/>
  </r>
  <r>
    <x v="0"/>
    <s v="Stem Inc."/>
    <x v="19"/>
    <n v="10.52"/>
    <n v="10.75"/>
    <n v="2.1863117870722475E-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20">
  <r>
    <x v="0"/>
    <s v="monday.com Ltd."/>
    <x v="0"/>
    <n v="74.430000000000007"/>
    <n v="75.28"/>
    <n v="1.1420126293161283E-2"/>
  </r>
  <r>
    <x v="0"/>
    <s v="monday.com Ltd."/>
    <x v="1"/>
    <n v="74.239999999999995"/>
    <n v="73.97"/>
    <n v="-3.6368534482758086E-3"/>
  </r>
  <r>
    <x v="0"/>
    <s v="monday.com Ltd."/>
    <x v="2"/>
    <n v="73.8"/>
    <n v="74.73"/>
    <n v="1.2601626016260255E-2"/>
  </r>
  <r>
    <x v="0"/>
    <s v="monday.com Ltd."/>
    <x v="3"/>
    <n v="74.36"/>
    <n v="73.849999999999994"/>
    <n v="-6.858526089295389E-3"/>
  </r>
  <r>
    <x v="0"/>
    <s v="monday.com Ltd."/>
    <x v="4"/>
    <n v="74.31"/>
    <n v="72.37"/>
    <n v="-2.6106849683757202E-2"/>
  </r>
  <r>
    <x v="0"/>
    <s v="monday.com Ltd."/>
    <x v="5"/>
    <n v="74.790000000000006"/>
    <n v="69.28"/>
    <n v="-7.3672950929268677E-2"/>
  </r>
  <r>
    <x v="0"/>
    <s v="monday.com Ltd."/>
    <x v="6"/>
    <n v="68.55"/>
    <n v="69.38"/>
    <n v="1.2107950401167007E-2"/>
  </r>
  <r>
    <x v="0"/>
    <s v="monday.com Ltd."/>
    <x v="7"/>
    <n v="67.75"/>
    <n v="66.47"/>
    <n v="-1.8892988929889314E-2"/>
  </r>
  <r>
    <x v="0"/>
    <s v="monday.com Ltd."/>
    <x v="8"/>
    <n v="67.010000000000005"/>
    <n v="67.88"/>
    <n v="1.2983136845246834E-2"/>
  </r>
  <r>
    <x v="0"/>
    <s v="monday.com Ltd."/>
    <x v="9"/>
    <n v="68.900000000000006"/>
    <n v="69.11"/>
    <n v="3.0478955007255983E-3"/>
  </r>
  <r>
    <x v="0"/>
    <s v="monday.com Ltd."/>
    <x v="10"/>
    <n v="69.95"/>
    <n v="68.099999999999994"/>
    <n v="-2.6447462473195259E-2"/>
  </r>
  <r>
    <x v="0"/>
    <s v="monday.com Ltd."/>
    <x v="11"/>
    <n v="68.099999999999994"/>
    <n v="68.34"/>
    <n v="3.5242290748900016E-3"/>
  </r>
  <r>
    <x v="0"/>
    <s v="monday.com Ltd."/>
    <x v="12"/>
    <n v="68.34"/>
    <n v="67.7"/>
    <n v="-9.3649400058530962E-3"/>
  </r>
  <r>
    <x v="0"/>
    <s v="monday.com Ltd."/>
    <x v="13"/>
    <n v="67.069999999999993"/>
    <n v="66.709999999999994"/>
    <n v="-5.3675264648874229E-3"/>
  </r>
  <r>
    <x v="0"/>
    <s v="monday.com Ltd."/>
    <x v="14"/>
    <n v="69.260000000000005"/>
    <n v="65.64"/>
    <n v="-5.226682067571476E-2"/>
  </r>
  <r>
    <x v="0"/>
    <s v="monday.com Ltd."/>
    <x v="15"/>
    <n v="64.709999999999994"/>
    <n v="62.39"/>
    <n v="-3.5852263946839644E-2"/>
  </r>
  <r>
    <x v="0"/>
    <s v="monday.com Ltd."/>
    <x v="16"/>
    <n v="62.5"/>
    <n v="58.81"/>
    <n v="-5.9039999999999961E-2"/>
  </r>
  <r>
    <x v="0"/>
    <s v="monday.com Ltd."/>
    <x v="17"/>
    <n v="58.92"/>
    <n v="63.55"/>
    <n v="7.8581126951798974E-2"/>
  </r>
  <r>
    <x v="0"/>
    <s v="monday.com Ltd."/>
    <x v="18"/>
    <n v="63.55"/>
    <n v="61.69"/>
    <n v="-2.9268292682926821E-2"/>
  </r>
  <r>
    <x v="0"/>
    <s v="monday.com Ltd."/>
    <x v="19"/>
    <n v="64.400000000000006"/>
    <n v="65.430000000000007"/>
    <n v="1.5993788819875794E-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20">
  <r>
    <x v="0"/>
    <s v="DexCom Inc."/>
    <x v="0"/>
    <n v="67.11"/>
    <n v="67.319999999999993"/>
    <n v="3.1291908806436262E-3"/>
  </r>
  <r>
    <x v="0"/>
    <s v="DexCom Inc."/>
    <x v="1"/>
    <n v="66.72"/>
    <n v="67.66"/>
    <n v="1.4088729016786537E-2"/>
  </r>
  <r>
    <x v="0"/>
    <s v="DexCom Inc."/>
    <x v="2"/>
    <n v="67.98"/>
    <n v="67.27"/>
    <n v="-1.0444248308326095E-2"/>
  </r>
  <r>
    <x v="0"/>
    <s v="DexCom Inc."/>
    <x v="3"/>
    <n v="67.42"/>
    <n v="66.95"/>
    <n v="-6.9712251557401197E-3"/>
  </r>
  <r>
    <x v="0"/>
    <s v="DexCom Inc."/>
    <x v="4"/>
    <n v="66.31"/>
    <n v="66.599999999999994"/>
    <n v="4.3733976775749061E-3"/>
  </r>
  <r>
    <x v="0"/>
    <s v="DexCom Inc."/>
    <x v="5"/>
    <n v="67.22"/>
    <n v="66.84"/>
    <n v="-5.653079440642598E-3"/>
  </r>
  <r>
    <x v="0"/>
    <s v="DexCom Inc."/>
    <x v="6"/>
    <n v="66.84"/>
    <n v="66.09"/>
    <n v="-1.1220825852782765E-2"/>
  </r>
  <r>
    <x v="0"/>
    <s v="DexCom Inc."/>
    <x v="7"/>
    <n v="65.91"/>
    <n v="62.25"/>
    <n v="-5.5530268548019977E-2"/>
  </r>
  <r>
    <x v="0"/>
    <s v="DexCom Inc."/>
    <x v="8"/>
    <n v="62.35"/>
    <n v="61.9"/>
    <n v="-7.2173215717722984E-3"/>
  </r>
  <r>
    <x v="0"/>
    <s v="DexCom Inc."/>
    <x v="9"/>
    <n v="62.77"/>
    <n v="62.8"/>
    <n v="4.7793531942001005E-4"/>
  </r>
  <r>
    <x v="0"/>
    <s v="DexCom Inc."/>
    <x v="10"/>
    <n v="62.8"/>
    <n v="62.37"/>
    <n v="-6.8471337579617793E-3"/>
  </r>
  <r>
    <x v="0"/>
    <s v="DexCom Inc."/>
    <x v="11"/>
    <n v="61.6"/>
    <n v="62.22"/>
    <n v="1.0064935064935023E-2"/>
  </r>
  <r>
    <x v="0"/>
    <s v="DexCom Inc."/>
    <x v="12"/>
    <n v="62.22"/>
    <n v="63.21"/>
    <n v="1.591128254580524E-2"/>
  </r>
  <r>
    <x v="0"/>
    <s v="DexCom Inc."/>
    <x v="13"/>
    <n v="63.1"/>
    <n v="63.11"/>
    <n v="1.5847860538824104E-4"/>
  </r>
  <r>
    <x v="0"/>
    <s v="DexCom Inc."/>
    <x v="14"/>
    <n v="65.010000000000005"/>
    <n v="65.8"/>
    <n v="1.2151976618981571E-2"/>
  </r>
  <r>
    <x v="0"/>
    <s v="DexCom Inc."/>
    <x v="15"/>
    <n v="65.39"/>
    <n v="65.680000000000007"/>
    <n v="4.4349288882093016E-3"/>
  </r>
  <r>
    <x v="0"/>
    <s v="DexCom Inc."/>
    <x v="16"/>
    <n v="65.900000000000006"/>
    <n v="64.02"/>
    <n v="-2.8528072837632919E-2"/>
  </r>
  <r>
    <x v="0"/>
    <s v="DexCom Inc."/>
    <x v="17"/>
    <n v="63.99"/>
    <n v="63.12"/>
    <n v="-1.3595874355368097E-2"/>
  </r>
  <r>
    <x v="0"/>
    <s v="DexCom Inc."/>
    <x v="18"/>
    <n v="62.69"/>
    <n v="62.95"/>
    <n v="4.1473919285373289E-3"/>
  </r>
  <r>
    <x v="0"/>
    <s v="DexCom Inc."/>
    <x v="19"/>
    <n v="63.04"/>
    <n v="61.54"/>
    <n v="-2.3794416243654824E-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20">
  <r>
    <x v="0"/>
    <s v="NVIDIA Corporation"/>
    <x v="0"/>
    <n v="185.06"/>
    <n v="181.93"/>
    <n v="-1.6913433481033153E-2"/>
  </r>
  <r>
    <x v="0"/>
    <s v="NVIDIA Corporation"/>
    <x v="1"/>
    <n v="182.48"/>
    <n v="180.4"/>
    <n v="-1.1398509425690401E-2"/>
  </r>
  <r>
    <x v="0"/>
    <s v="NVIDIA Corporation"/>
    <x v="2"/>
    <n v="178.01"/>
    <n v="178.56"/>
    <n v="3.0897140610078727E-3"/>
  </r>
  <r>
    <x v="0"/>
    <s v="NVIDIA Corporation"/>
    <x v="3"/>
    <n v="178"/>
    <n v="172.7"/>
    <n v="-2.9775280898876468E-2"/>
  </r>
  <r>
    <x v="0"/>
    <s v="NVIDIA Corporation"/>
    <x v="4"/>
    <n v="174.83"/>
    <n v="175.2"/>
    <n v="2.1163415889720078E-3"/>
  </r>
  <r>
    <x v="0"/>
    <s v="NVIDIA Corporation"/>
    <x v="5"/>
    <n v="177.1"/>
    <n v="178.68"/>
    <n v="8.9215132693394265E-3"/>
  </r>
  <r>
    <x v="0"/>
    <s v="NVIDIA Corporation"/>
    <x v="6"/>
    <n v="176.07"/>
    <n v="171.24"/>
    <n v="-2.7432271255750464E-2"/>
  </r>
  <r>
    <x v="0"/>
    <s v="NVIDIA Corporation"/>
    <x v="7"/>
    <n v="170"/>
    <n v="167.52"/>
    <n v="-1.4588235294117588E-2"/>
  </r>
  <r>
    <x v="0"/>
    <s v="NVIDIA Corporation"/>
    <x v="8"/>
    <n v="168.78"/>
    <n v="165.17"/>
    <n v="-2.1388790141012051E-2"/>
  </r>
  <r>
    <x v="0"/>
    <s v="NVIDIA Corporation"/>
    <x v="9"/>
    <n v="166.97"/>
    <n v="174.4"/>
    <n v="4.4499011798526722E-2"/>
  </r>
  <r>
    <x v="0"/>
    <s v="NVIDIA Corporation"/>
    <x v="10"/>
    <n v="176"/>
    <n v="175.75"/>
    <n v="-1.4204545454545455E-3"/>
  </r>
  <r>
    <x v="0"/>
    <s v="NVIDIA Corporation"/>
    <x v="11"/>
    <n v="172.18"/>
    <n v="177.39"/>
    <n v="3.0259031246369958E-2"/>
  </r>
  <r>
    <x v="0"/>
    <s v="NVIDIA Corporation"/>
    <x v="12"/>
    <n v="177.16"/>
    <n v="177.64"/>
    <n v="2.7094152178820828E-3"/>
  </r>
  <r>
    <x v="0"/>
    <s v="NVIDIA Corporation"/>
    <x v="13"/>
    <n v="175.73"/>
    <n v="178.1"/>
    <n v="1.3486598759460563E-2"/>
  </r>
  <r>
    <x v="0"/>
    <s v="NVIDIA Corporation"/>
    <x v="14"/>
    <n v="184.5"/>
    <n v="182.08"/>
    <n v="-1.3116531165311585E-2"/>
  </r>
  <r>
    <x v="0"/>
    <s v="NVIDIA Corporation"/>
    <x v="15"/>
    <n v="181.84"/>
    <n v="183.91"/>
    <n v="1.1383633963924292E-2"/>
  </r>
  <r>
    <x v="0"/>
    <s v="NVIDIA Corporation"/>
    <x v="16"/>
    <n v="184.31"/>
    <n v="188.63"/>
    <n v="2.343877163474577E-2"/>
  </r>
  <r>
    <x v="0"/>
    <s v="NVIDIA Corporation"/>
    <x v="17"/>
    <n v="186.03"/>
    <n v="189.31"/>
    <n v="1.7631564801376128E-2"/>
  </r>
  <r>
    <x v="0"/>
    <s v="NVIDIA Corporation"/>
    <x v="18"/>
    <n v="190.84"/>
    <n v="196.51"/>
    <n v="2.9710752462795992E-2"/>
  </r>
  <r>
    <x v="0"/>
    <s v="NVIDIA Corporation"/>
    <x v="19"/>
    <n v="196.54"/>
    <n v="198.87"/>
    <n v="1.18550931108172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5" rowHeaderCaption="Date">
  <location ref="A29:D49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7" numFmtId="165"/>
    <dataField name="Close Price" fld="4" baseField="2" baseItem="77" numFmtId="165"/>
    <dataField name="Pct Change" fld="5" baseField="2" baseItem="77" numFmtId="10"/>
  </dataFields>
  <formats count="4">
    <format dxfId="6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5" rowHeaderCaption="Date">
  <location ref="G3:J23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7" numFmtId="165"/>
    <dataField name="Close Price" fld="4" baseField="2" baseItem="77" numFmtId="165"/>
    <dataField name="Pct Change" fld="5" baseField="2" baseItem="77" numFmtId="10"/>
  </dataFields>
  <formats count="4">
    <format dxfId="1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9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5" rowHeaderCaption="Date">
  <location ref="G54:J74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7" numFmtId="165"/>
    <dataField name="Close Price" fld="4" baseField="2" baseItem="77" numFmtId="165"/>
    <dataField name="Pct Change" fld="5" baseField="2" baseItem="77" numFmtId="10"/>
  </dataFields>
  <formats count="4">
    <format dxfId="1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9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8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7" rowHeaderCaption="Date">
  <location ref="A54:D74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7" numFmtId="165"/>
    <dataField name="Close Price" fld="4" baseField="2" baseItem="77" numFmtId="165"/>
    <dataField name="Pct Change" fld="5" baseField="2" baseItem="77" numFmtId="10"/>
  </dataFields>
  <formats count="4">
    <format dxfId="1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6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5" rowHeaderCaption="Date">
  <location ref="M29:P49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7" numFmtId="165"/>
    <dataField name="Close Price" fld="4" baseField="2" baseItem="77" numFmtId="165"/>
    <dataField name="Pct Change" fld="5" baseField="2" baseItem="77" numFmtId="10"/>
  </dataFields>
  <formats count="4">
    <format dxfId="2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20" rowHeaderCaption="Date">
  <location ref="A3:D23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8"/>
    <dataField name="Close Price" fld="4" baseField="2" baseItem="78"/>
    <dataField name="Pct Change" fld="5" baseField="2" baseItem="77" numFmtId="10"/>
  </dataFields>
  <formats count="4">
    <format dxfId="26">
      <pivotArea outline="0" collapsedLevelsAreSubtotals="1" fieldPosition="0"/>
    </format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1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5" rowHeaderCaption="Date">
  <location ref="S3:V23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7" numFmtId="165"/>
    <dataField name="Close PRice" fld="4" baseField="2" baseItem="77" numFmtId="165"/>
    <dataField name="Pct Change" fld="5" baseField="2" baseItem="77" numFmtId="10"/>
  </dataFields>
  <formats count="4">
    <format dxfId="3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5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5" rowHeaderCaption="Date">
  <location ref="G29:J49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7" numFmtId="165"/>
    <dataField name="Close Price" fld="4" baseField="2" baseItem="77" numFmtId="165"/>
    <dataField name="Pct Change" fld="5" baseField="2" baseItem="77" numFmtId="10"/>
  </dataFields>
  <formats count="4">
    <format dxfId="3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7" rowHeaderCaption="Date">
  <location ref="S29:V49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7" numFmtId="165"/>
    <dataField name="Close Price" fld="4" baseField="2" baseItem="77" numFmtId="165"/>
    <dataField name="Pct Change" fld="5" baseField="2" baseItem="77" numFmtId="10"/>
  </dataFields>
  <formats count="4">
    <format dxfId="3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6" minRefreshableVersion="3" useAutoFormatting="1" rowGrandTotals="0" itemPrintTitles="1" createdVersion="6" indent="0" outline="1" outlineData="1" multipleFieldFilters="0" chartFormat="5" rowHeaderCaption="Date">
  <location ref="M3:P23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numFmtId="165" showAll="0"/>
    <pivotField dataField="1" numFmtId="165" showAll="0"/>
    <pivotField dataField="1" numFmtId="1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20">
    <i>
      <x v="77"/>
    </i>
    <i>
      <x v="78"/>
    </i>
    <i>
      <x v="79"/>
    </i>
    <i>
      <x v="80"/>
    </i>
    <i>
      <x v="84"/>
    </i>
    <i>
      <x v="85"/>
    </i>
    <i>
      <x v="86"/>
    </i>
    <i>
      <x v="87"/>
    </i>
    <i>
      <x v="91"/>
    </i>
    <i>
      <x v="92"/>
    </i>
    <i>
      <x v="93"/>
    </i>
    <i>
      <x v="94"/>
    </i>
    <i>
      <x v="98"/>
    </i>
    <i>
      <x v="99"/>
    </i>
    <i>
      <x v="100"/>
    </i>
    <i>
      <x v="101"/>
    </i>
    <i>
      <x v="102"/>
    </i>
    <i>
      <x v="105"/>
    </i>
    <i>
      <x v="106"/>
    </i>
    <i>
      <x v="107"/>
    </i>
  </rowItems>
  <colFields count="1">
    <field x="-2"/>
  </colFields>
  <colItems count="3">
    <i>
      <x/>
    </i>
    <i i="1">
      <x v="1"/>
    </i>
    <i i="2">
      <x v="2"/>
    </i>
  </colItems>
  <dataFields count="3">
    <dataField name="Open Price" fld="3" baseField="2" baseItem="77" numFmtId="165"/>
    <dataField name="Close Price" fld="4" baseField="2" baseItem="77" numFmtId="165"/>
    <dataField name="Pct Change" fld="5" baseField="2" baseItem="77" numFmtId="10"/>
  </dataFields>
  <formats count="4">
    <format dxfId="4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refreshOnLoad="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Name" tableColumnId="2"/>
      <queryTableField id="3" name="Price" tableColumnId="3"/>
      <queryTableField id="4" name="Price Change" tableColumnId="4"/>
      <queryTableField id="5" name="Market Cap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Google_Data" displayName="Google_Data" ref="A1:E11" tableType="queryTable" totalsRowShown="0">
  <autoFilter ref="A1:E11"/>
  <tableColumns count="5">
    <tableColumn id="1" uniqueName="1" name="Column1" queryTableFieldId="1" dataDxfId="89"/>
    <tableColumn id="2" uniqueName="2" name="Name" queryTableFieldId="2" dataDxfId="88"/>
    <tableColumn id="3" uniqueName="3" name="Price" queryTableFieldId="3"/>
    <tableColumn id="4" uniqueName="4" name="Price Change" queryTableFieldId="4"/>
    <tableColumn id="5" uniqueName="5" name="Market Cap" queryTableFieldId="5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E11"/>
    </sheetView>
  </sheetViews>
  <sheetFormatPr defaultRowHeight="15.4"/>
  <cols>
    <col min="1" max="1" width="10.58203125" bestFit="1" customWidth="1"/>
    <col min="2" max="2" width="22.58203125" bestFit="1" customWidth="1"/>
    <col min="3" max="3" width="7.4140625" bestFit="1" customWidth="1"/>
    <col min="4" max="4" width="14.4140625" bestFit="1" customWidth="1"/>
    <col min="5" max="5" width="20.75" style="1" bestFit="1" customWidth="1"/>
    <col min="7" max="7" width="10.332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7">
      <c r="A2" t="s">
        <v>5</v>
      </c>
      <c r="B2" t="s">
        <v>6</v>
      </c>
      <c r="C2">
        <v>216.93</v>
      </c>
      <c r="D2">
        <v>-0.16</v>
      </c>
      <c r="E2" s="36">
        <v>5228015397644</v>
      </c>
      <c r="G2" s="2">
        <f>Google_Data[[#This Row],[Market Cap]]/1000000000</f>
        <v>5228.0153976439997</v>
      </c>
    </row>
    <row r="3" spans="1:7">
      <c r="A3" t="s">
        <v>7</v>
      </c>
      <c r="B3" t="s">
        <v>8</v>
      </c>
      <c r="C3">
        <v>85.54</v>
      </c>
      <c r="D3">
        <v>-0.44</v>
      </c>
      <c r="E3" s="36">
        <v>32279434623</v>
      </c>
      <c r="G3" s="2">
        <f>Google_Data[[#This Row],[Market Cap]]/1000000000</f>
        <v>32.279434623</v>
      </c>
    </row>
    <row r="4" spans="1:7">
      <c r="A4" t="s">
        <v>9</v>
      </c>
      <c r="B4" t="s">
        <v>10</v>
      </c>
      <c r="C4">
        <v>100.59</v>
      </c>
      <c r="D4">
        <v>7.17</v>
      </c>
      <c r="E4" s="36">
        <v>4252352570</v>
      </c>
      <c r="G4" s="2">
        <f>Google_Data[[#This Row],[Market Cap]]/1000000000</f>
        <v>4.2523525700000002</v>
      </c>
    </row>
    <row r="5" spans="1:7">
      <c r="A5" t="s">
        <v>11</v>
      </c>
      <c r="B5" t="s">
        <v>12</v>
      </c>
      <c r="C5">
        <v>3.54</v>
      </c>
      <c r="D5">
        <v>0.13</v>
      </c>
      <c r="E5" s="36">
        <v>34078673</v>
      </c>
      <c r="G5" s="2">
        <f>Google_Data[[#This Row],[Market Cap]]/1000000000</f>
        <v>3.4078672999999997E-2</v>
      </c>
    </row>
    <row r="6" spans="1:7">
      <c r="A6" t="s">
        <v>13</v>
      </c>
      <c r="B6" t="s">
        <v>14</v>
      </c>
      <c r="C6">
        <v>7.58</v>
      </c>
      <c r="D6">
        <v>0.69</v>
      </c>
      <c r="E6" s="36">
        <v>1825620241</v>
      </c>
      <c r="G6" s="2">
        <f>Google_Data[[#This Row],[Market Cap]]/1000000000</f>
        <v>1.825620241</v>
      </c>
    </row>
    <row r="7" spans="1:7">
      <c r="A7" t="s">
        <v>15</v>
      </c>
      <c r="B7" t="s">
        <v>16</v>
      </c>
      <c r="C7">
        <v>1.53</v>
      </c>
      <c r="D7">
        <v>0.01</v>
      </c>
      <c r="E7" s="36">
        <v>537462673</v>
      </c>
      <c r="G7" s="2">
        <f>Google_Data[[#This Row],[Market Cap]]/1000000000</f>
        <v>0.53746267299999995</v>
      </c>
    </row>
    <row r="8" spans="1:7">
      <c r="A8" t="s">
        <v>17</v>
      </c>
      <c r="B8" t="s">
        <v>18</v>
      </c>
      <c r="C8">
        <v>1.1000000000000001</v>
      </c>
      <c r="D8">
        <v>0.04</v>
      </c>
      <c r="E8" s="36">
        <v>345967277</v>
      </c>
      <c r="G8" s="2">
        <f>Google_Data[[#This Row],[Market Cap]]/1000000000</f>
        <v>0.34596727700000002</v>
      </c>
    </row>
    <row r="9" spans="1:7">
      <c r="A9" t="s">
        <v>19</v>
      </c>
      <c r="B9" t="s">
        <v>20</v>
      </c>
      <c r="C9">
        <v>5.08</v>
      </c>
      <c r="D9">
        <v>7.0000000000000007E-2</v>
      </c>
      <c r="E9" s="36">
        <v>1341829949</v>
      </c>
      <c r="G9" s="2">
        <f>Google_Data[[#This Row],[Market Cap]]/1000000000</f>
        <v>1.3418299490000001</v>
      </c>
    </row>
    <row r="10" spans="1:7">
      <c r="A10" t="s">
        <v>21</v>
      </c>
      <c r="B10" t="s">
        <v>22</v>
      </c>
      <c r="C10">
        <v>0.43</v>
      </c>
      <c r="D10">
        <v>0.02</v>
      </c>
      <c r="E10" s="36">
        <v>33958146</v>
      </c>
      <c r="G10" s="2">
        <f>Google_Data[[#This Row],[Market Cap]]/1000000000</f>
        <v>3.3958146000000002E-2</v>
      </c>
    </row>
    <row r="11" spans="1:7">
      <c r="A11" t="s">
        <v>23</v>
      </c>
      <c r="B11" t="s">
        <v>24</v>
      </c>
      <c r="C11">
        <v>22.12</v>
      </c>
      <c r="D11">
        <v>-0.87</v>
      </c>
      <c r="E11" s="36">
        <v>3523716133</v>
      </c>
      <c r="G11" s="2">
        <f>Google_Data[[#This Row],[Market Cap]]/1000000000</f>
        <v>3.5237161330000002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showGridLines="0" tabSelected="1" zoomScaleNormal="100" workbookViewId="0">
      <selection activeCell="U12" sqref="U12"/>
    </sheetView>
  </sheetViews>
  <sheetFormatPr defaultRowHeight="15.4"/>
  <cols>
    <col min="3" max="3" width="23.4140625" customWidth="1"/>
    <col min="4" max="4" width="15.58203125" customWidth="1"/>
    <col min="5" max="5" width="6.4140625" customWidth="1"/>
    <col min="6" max="6" width="6.6640625" customWidth="1"/>
    <col min="7" max="7" width="9.58203125" customWidth="1"/>
    <col min="8" max="8" width="10.4140625" customWidth="1"/>
    <col min="10" max="10" width="10.58203125" customWidth="1"/>
    <col min="11" max="11" width="10" customWidth="1"/>
    <col min="12" max="12" width="11.4140625" customWidth="1"/>
    <col min="13" max="13" width="10.4140625" customWidth="1"/>
    <col min="14" max="14" width="8.6640625" customWidth="1"/>
    <col min="15" max="15" width="9.4140625" customWidth="1"/>
  </cols>
  <sheetData>
    <row r="1" spans="1:15" ht="15.9" thickBot="1"/>
    <row r="2" spans="1:15" ht="45.7" thickBot="1">
      <c r="B2" s="5" t="s">
        <v>25</v>
      </c>
      <c r="C2" s="6" t="s">
        <v>1</v>
      </c>
      <c r="D2" s="6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8" t="s">
        <v>37</v>
      </c>
    </row>
    <row r="3" spans="1:15">
      <c r="B3" s="9" t="str">
        <f>'Google Data'!A2</f>
        <v>NVDA</v>
      </c>
      <c r="C3" s="10" t="str">
        <f>'Google Data'!B2</f>
        <v>NVIDIA Corp</v>
      </c>
      <c r="D3" s="10" t="s">
        <v>38</v>
      </c>
      <c r="E3" s="11" t="str">
        <f>IF('Google Data'!G2&gt;10,"Large",IF('Google Data'!G2&gt;2,"Mid","Small"))</f>
        <v>Large</v>
      </c>
      <c r="F3" s="10">
        <v>250</v>
      </c>
      <c r="G3" s="12">
        <v>174.39</v>
      </c>
      <c r="H3" s="13">
        <f>F3*G3</f>
        <v>43597.5</v>
      </c>
      <c r="I3" s="21">
        <f>'Google Data'!C2</f>
        <v>216.93</v>
      </c>
      <c r="J3" s="13">
        <f>F3*I3</f>
        <v>54232.5</v>
      </c>
      <c r="K3" s="14">
        <f>J3/$J$13</f>
        <v>0.27571875238313126</v>
      </c>
      <c r="L3" s="13">
        <f>J3-H3</f>
        <v>10635</v>
      </c>
      <c r="M3" s="14">
        <f>L3/H3</f>
        <v>0.2439360055049028</v>
      </c>
      <c r="N3" s="13">
        <f>'Google Data'!D2*'Stocks Dashboard'!F3</f>
        <v>-40</v>
      </c>
      <c r="O3" s="15">
        <f>'Google Data'!C2/('Google Data'!C2-'Google Data'!D2)-1</f>
        <v>-7.3702151181531672E-4</v>
      </c>
    </row>
    <row r="4" spans="1:15">
      <c r="B4" s="16" t="str">
        <f>'Google Data'!A3</f>
        <v>DXCM</v>
      </c>
      <c r="C4" s="17" t="str">
        <f>'Google Data'!B3</f>
        <v>DexCom Inc</v>
      </c>
      <c r="D4" s="17" t="s">
        <v>39</v>
      </c>
      <c r="E4" s="18" t="str">
        <f>IF('Google Data'!G3&gt;10,"Large",IF('Google Data'!G3&gt;2,"Mid","Small"))</f>
        <v>Large</v>
      </c>
      <c r="F4" s="17">
        <v>250</v>
      </c>
      <c r="G4" s="19">
        <v>66.959999999999994</v>
      </c>
      <c r="H4" s="20">
        <f t="shared" ref="H4:H12" si="0">F4*G4</f>
        <v>16740</v>
      </c>
      <c r="I4" s="21">
        <f>'Google Data'!C3</f>
        <v>85.54</v>
      </c>
      <c r="J4" s="20">
        <f t="shared" ref="J4:J12" si="1">F4*I4</f>
        <v>21385</v>
      </c>
      <c r="K4" s="22">
        <f t="shared" ref="K4:K12" si="2">J4/$J$13</f>
        <v>0.1087216248506571</v>
      </c>
      <c r="L4" s="20">
        <f t="shared" ref="L4:L12" si="3">J4-H4</f>
        <v>4645</v>
      </c>
      <c r="M4" s="22">
        <f t="shared" ref="M4:M12" si="4">L4/H4</f>
        <v>0.27747909199522103</v>
      </c>
      <c r="N4" s="20">
        <f>'Google Data'!D3*'Stocks Dashboard'!F4</f>
        <v>-110</v>
      </c>
      <c r="O4" s="23">
        <f>'Google Data'!C3/('Google Data'!C3-'Google Data'!D3)-1</f>
        <v>-5.1174691788787863E-3</v>
      </c>
    </row>
    <row r="5" spans="1:15">
      <c r="B5" s="16" t="str">
        <f>'Google Data'!A4</f>
        <v>MNDY</v>
      </c>
      <c r="C5" s="17" t="str">
        <f>'Google Data'!B4</f>
        <v>Monday.Com Ltd</v>
      </c>
      <c r="D5" s="17" t="s">
        <v>38</v>
      </c>
      <c r="E5" s="18" t="str">
        <f>IF('Google Data'!G4&gt;10,"Large",IF('Google Data'!G4&gt;2,"Mid","Small"))</f>
        <v>Mid</v>
      </c>
      <c r="F5" s="17">
        <v>750</v>
      </c>
      <c r="G5" s="19">
        <v>73.98</v>
      </c>
      <c r="H5" s="20">
        <f t="shared" si="0"/>
        <v>55485</v>
      </c>
      <c r="I5" s="21">
        <f>'Google Data'!C4</f>
        <v>100.59</v>
      </c>
      <c r="J5" s="20">
        <f t="shared" si="1"/>
        <v>75442.5</v>
      </c>
      <c r="K5" s="22">
        <f t="shared" si="2"/>
        <v>0.38355067490276823</v>
      </c>
      <c r="L5" s="20">
        <f t="shared" si="3"/>
        <v>19957.5</v>
      </c>
      <c r="M5" s="22">
        <f t="shared" si="4"/>
        <v>0.35969180859691807</v>
      </c>
      <c r="N5" s="20">
        <f>'Google Data'!D4*'Stocks Dashboard'!F5</f>
        <v>5377.5</v>
      </c>
      <c r="O5" s="23">
        <f>'Google Data'!C4/('Google Data'!C4-'Google Data'!D4)-1</f>
        <v>7.6750160565189463E-2</v>
      </c>
    </row>
    <row r="6" spans="1:15">
      <c r="B6" s="16" t="str">
        <f>'Google Data'!A5</f>
        <v>STEM</v>
      </c>
      <c r="C6" s="17" t="str">
        <f>'Google Data'!B5</f>
        <v>Stem Inc</v>
      </c>
      <c r="D6" s="17" t="s">
        <v>40</v>
      </c>
      <c r="E6" s="18" t="str">
        <f>IF('Google Data'!G5&gt;10,"Large",IF('Google Data'!G5&gt;2,"Mid","Small"))</f>
        <v>Small</v>
      </c>
      <c r="F6" s="17">
        <v>2000</v>
      </c>
      <c r="G6" s="19">
        <v>11.25</v>
      </c>
      <c r="H6" s="20">
        <f t="shared" si="0"/>
        <v>22500</v>
      </c>
      <c r="I6" s="21">
        <f>'Google Data'!C5</f>
        <v>3.54</v>
      </c>
      <c r="J6" s="20">
        <f t="shared" si="1"/>
        <v>7080</v>
      </c>
      <c r="K6" s="22">
        <f t="shared" si="2"/>
        <v>3.5994814306413485E-2</v>
      </c>
      <c r="L6" s="20">
        <f t="shared" si="3"/>
        <v>-15420</v>
      </c>
      <c r="M6" s="22">
        <f t="shared" si="4"/>
        <v>-0.68533333333333335</v>
      </c>
      <c r="N6" s="20">
        <f>'Google Data'!D5*'Stocks Dashboard'!F6</f>
        <v>260</v>
      </c>
      <c r="O6" s="23">
        <f>'Google Data'!C5/('Google Data'!C5-'Google Data'!D5)-1</f>
        <v>3.8123167155425186E-2</v>
      </c>
    </row>
    <row r="7" spans="1:15">
      <c r="B7" s="16" t="str">
        <f>'Google Data'!A6</f>
        <v>RUN</v>
      </c>
      <c r="C7" s="17" t="str">
        <f>'Google Data'!B6</f>
        <v>Sunrun Inc</v>
      </c>
      <c r="D7" s="17" t="s">
        <v>40</v>
      </c>
      <c r="E7" s="18" t="str">
        <f>IF('Google Data'!G6&gt;10,"Large",IF('Google Data'!G6&gt;2,"Mid","Small"))</f>
        <v>Small</v>
      </c>
      <c r="F7" s="17">
        <v>750</v>
      </c>
      <c r="G7" s="19">
        <v>12.55</v>
      </c>
      <c r="H7" s="20">
        <f t="shared" si="0"/>
        <v>9412.5</v>
      </c>
      <c r="I7" s="21">
        <f>'Google Data'!C6</f>
        <v>7.58</v>
      </c>
      <c r="J7" s="20">
        <f t="shared" si="1"/>
        <v>5685</v>
      </c>
      <c r="K7" s="22">
        <f t="shared" si="2"/>
        <v>2.8902615724853198E-2</v>
      </c>
      <c r="L7" s="20">
        <f t="shared" si="3"/>
        <v>-3727.5</v>
      </c>
      <c r="M7" s="22">
        <f t="shared" si="4"/>
        <v>-0.39601593625498011</v>
      </c>
      <c r="N7" s="20">
        <f>'Google Data'!D6*'Stocks Dashboard'!F7</f>
        <v>517.5</v>
      </c>
      <c r="O7" s="23">
        <f>'Google Data'!C6/('Google Data'!C6-'Google Data'!D6)-1</f>
        <v>0.10014513788098678</v>
      </c>
    </row>
    <row r="8" spans="1:15">
      <c r="B8" s="16" t="str">
        <f>'Google Data'!A7</f>
        <v>BLDP</v>
      </c>
      <c r="C8" s="17" t="str">
        <f>'Google Data'!B7</f>
        <v>Ballard Power Systems Inc</v>
      </c>
      <c r="D8" s="17" t="s">
        <v>40</v>
      </c>
      <c r="E8" s="18" t="str">
        <f>IF('Google Data'!G7&gt;10,"Large",IF('Google Data'!G7&gt;2,"Mid","Small"))</f>
        <v>Small</v>
      </c>
      <c r="F8" s="17">
        <v>2000</v>
      </c>
      <c r="G8" s="19">
        <v>2.46</v>
      </c>
      <c r="H8" s="20">
        <f t="shared" si="0"/>
        <v>4920</v>
      </c>
      <c r="I8" s="21">
        <f>'Google Data'!C7</f>
        <v>1.53</v>
      </c>
      <c r="J8" s="20">
        <f t="shared" si="1"/>
        <v>3060</v>
      </c>
      <c r="K8" s="22">
        <f t="shared" si="2"/>
        <v>1.5557080759551589E-2</v>
      </c>
      <c r="L8" s="20">
        <f t="shared" si="3"/>
        <v>-1860</v>
      </c>
      <c r="M8" s="22">
        <f t="shared" si="4"/>
        <v>-0.37804878048780488</v>
      </c>
      <c r="N8" s="20">
        <f>'Google Data'!D7*'Stocks Dashboard'!F8</f>
        <v>20</v>
      </c>
      <c r="O8" s="23">
        <f>'Google Data'!C7/('Google Data'!C7-'Google Data'!D7)-1</f>
        <v>6.5789473684210176E-3</v>
      </c>
    </row>
    <row r="9" spans="1:15">
      <c r="B9" s="16" t="str">
        <f>'Google Data'!A8</f>
        <v>EVGO</v>
      </c>
      <c r="C9" s="17" t="str">
        <f>'Google Data'!B8</f>
        <v>Evgo Inc</v>
      </c>
      <c r="D9" s="17" t="s">
        <v>41</v>
      </c>
      <c r="E9" s="18" t="str">
        <f>IF('Google Data'!G8&gt;10,"Large",IF('Google Data'!G8&gt;2,"Mid","Small"))</f>
        <v>Small</v>
      </c>
      <c r="F9" s="17">
        <v>2000</v>
      </c>
      <c r="G9" s="19">
        <v>1.21</v>
      </c>
      <c r="H9" s="20">
        <f t="shared" si="0"/>
        <v>2420</v>
      </c>
      <c r="I9" s="21">
        <f>'Google Data'!C8</f>
        <v>1.1000000000000001</v>
      </c>
      <c r="J9" s="20">
        <f t="shared" si="1"/>
        <v>2200</v>
      </c>
      <c r="K9" s="22">
        <f t="shared" si="2"/>
        <v>1.1184829304252778E-2</v>
      </c>
      <c r="L9" s="20">
        <f t="shared" si="3"/>
        <v>-220</v>
      </c>
      <c r="M9" s="22">
        <f t="shared" si="4"/>
        <v>-9.0909090909090912E-2</v>
      </c>
      <c r="N9" s="20">
        <f>'Google Data'!D8*'Stocks Dashboard'!F9</f>
        <v>80</v>
      </c>
      <c r="O9" s="23">
        <f>'Google Data'!C8/('Google Data'!C8-'Google Data'!D8)-1</f>
        <v>3.7735849056603765E-2</v>
      </c>
    </row>
    <row r="10" spans="1:15">
      <c r="B10" s="16" t="str">
        <f>'Google Data'!A9</f>
        <v>COUR</v>
      </c>
      <c r="C10" s="17" t="str">
        <f>'Google Data'!B9</f>
        <v>Coursera Inc</v>
      </c>
      <c r="D10" s="17" t="s">
        <v>38</v>
      </c>
      <c r="E10" s="18" t="str">
        <f>IF('Google Data'!G9&gt;10,"Large",IF('Google Data'!G9&gt;2,"Mid","Small"))</f>
        <v>Small</v>
      </c>
      <c r="F10" s="17">
        <v>2000</v>
      </c>
      <c r="G10" s="19">
        <v>5.93</v>
      </c>
      <c r="H10" s="20">
        <f t="shared" si="0"/>
        <v>11860</v>
      </c>
      <c r="I10" s="21">
        <f>'Google Data'!C9</f>
        <v>5.08</v>
      </c>
      <c r="J10" s="20">
        <f t="shared" si="1"/>
        <v>10160</v>
      </c>
      <c r="K10" s="22">
        <f t="shared" si="2"/>
        <v>5.165357533236737E-2</v>
      </c>
      <c r="L10" s="20">
        <f t="shared" si="3"/>
        <v>-1700</v>
      </c>
      <c r="M10" s="22">
        <f t="shared" si="4"/>
        <v>-0.14333895446880271</v>
      </c>
      <c r="N10" s="20">
        <f>'Google Data'!D9*'Stocks Dashboard'!F10</f>
        <v>140</v>
      </c>
      <c r="O10" s="23">
        <f>'Google Data'!C9/('Google Data'!C9-'Google Data'!D9)-1</f>
        <v>1.39720558882237E-2</v>
      </c>
    </row>
    <row r="11" spans="1:15">
      <c r="B11" s="16" t="str">
        <f>'Google Data'!A10</f>
        <v>NNOX</v>
      </c>
      <c r="C11" s="17" t="str">
        <f>'Google Data'!B10</f>
        <v>Nano-X Imaging Ltd</v>
      </c>
      <c r="D11" s="17" t="s">
        <v>39</v>
      </c>
      <c r="E11" s="18" t="str">
        <f>IF('Google Data'!G10&gt;10,"Large",IF('Google Data'!G10&gt;2,"Mid","Small"))</f>
        <v>Small</v>
      </c>
      <c r="F11" s="17">
        <v>2000</v>
      </c>
      <c r="G11" s="19">
        <v>2.39</v>
      </c>
      <c r="H11" s="20">
        <f t="shared" si="0"/>
        <v>4780</v>
      </c>
      <c r="I11" s="21">
        <f>'Google Data'!C10</f>
        <v>0.43</v>
      </c>
      <c r="J11" s="20">
        <f t="shared" si="1"/>
        <v>860</v>
      </c>
      <c r="K11" s="22">
        <f t="shared" si="2"/>
        <v>4.3722514552988131E-3</v>
      </c>
      <c r="L11" s="20">
        <f t="shared" si="3"/>
        <v>-3920</v>
      </c>
      <c r="M11" s="22">
        <f t="shared" si="4"/>
        <v>-0.82008368200836823</v>
      </c>
      <c r="N11" s="20">
        <f>'Google Data'!D10*'Stocks Dashboard'!F11</f>
        <v>40</v>
      </c>
      <c r="O11" s="23">
        <f>'Google Data'!C10/('Google Data'!C10-'Google Data'!D10)-1</f>
        <v>4.8780487804878092E-2</v>
      </c>
    </row>
    <row r="12" spans="1:15" ht="15.9" thickBot="1">
      <c r="B12" s="24" t="str">
        <f>'Google Data'!A11</f>
        <v>FSLY</v>
      </c>
      <c r="C12" s="25" t="str">
        <f>'Google Data'!B11</f>
        <v>Fastly Inc</v>
      </c>
      <c r="D12" s="25" t="s">
        <v>38</v>
      </c>
      <c r="E12" s="26" t="str">
        <f>IF('Google Data'!G11&gt;10,"Large",IF('Google Data'!G11&gt;2,"Mid","Small"))</f>
        <v>Mid</v>
      </c>
      <c r="F12" s="25">
        <v>750</v>
      </c>
      <c r="G12" s="27">
        <v>25.58</v>
      </c>
      <c r="H12" s="28">
        <f t="shared" si="0"/>
        <v>19185</v>
      </c>
      <c r="I12" s="21">
        <f>'Google Data'!C11</f>
        <v>22.12</v>
      </c>
      <c r="J12" s="28">
        <f t="shared" si="1"/>
        <v>16590</v>
      </c>
      <c r="K12" s="29">
        <f t="shared" si="2"/>
        <v>8.4343780980706176E-2</v>
      </c>
      <c r="L12" s="28">
        <f t="shared" si="3"/>
        <v>-2595</v>
      </c>
      <c r="M12" s="29">
        <f t="shared" si="4"/>
        <v>-0.13526192337763879</v>
      </c>
      <c r="N12" s="28">
        <f>'Google Data'!D11*'Stocks Dashboard'!F12</f>
        <v>-652.5</v>
      </c>
      <c r="O12" s="30">
        <f>'Google Data'!C11/('Google Data'!C11-'Google Data'!D11)-1</f>
        <v>-3.7842540234884758E-2</v>
      </c>
    </row>
    <row r="13" spans="1:15" ht="15.9" thickBot="1">
      <c r="A13" s="35"/>
      <c r="B13" s="31" t="s">
        <v>42</v>
      </c>
      <c r="C13" s="32"/>
      <c r="D13" s="32"/>
      <c r="E13" s="32"/>
      <c r="F13" s="32"/>
      <c r="G13" s="32"/>
      <c r="H13" s="33">
        <f>SUM(H3:H12)</f>
        <v>190900</v>
      </c>
      <c r="I13" s="32"/>
      <c r="J13" s="33">
        <f>SUM(J3:J12)</f>
        <v>196695</v>
      </c>
      <c r="K13" s="32"/>
      <c r="L13" s="33">
        <f>SUM(L3:L12)</f>
        <v>5795</v>
      </c>
      <c r="M13" s="32"/>
      <c r="N13" s="33">
        <f>SUM(N3:N12)</f>
        <v>5632.5</v>
      </c>
      <c r="O13" s="34"/>
    </row>
  </sheetData>
  <conditionalFormatting sqref="L3:O13">
    <cfRule type="cellIs" dxfId="87" priority="1" operator="lessThan">
      <formula>0</formula>
    </cfRule>
    <cfRule type="cellIs" dxfId="86" priority="2" operator="greater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"/>
  <sheetViews>
    <sheetView workbookViewId="0">
      <selection sqref="A1:E11"/>
    </sheetView>
  </sheetViews>
  <sheetFormatPr defaultRowHeight="15.4"/>
  <cols>
    <col min="3" max="3" width="21.4140625" customWidth="1"/>
    <col min="8" max="8" width="29.58203125" customWidth="1"/>
    <col min="9" max="9" width="13.6640625" customWidth="1"/>
  </cols>
  <sheetData>
    <row r="2" spans="2:9">
      <c r="B2" t="s">
        <v>43</v>
      </c>
      <c r="C2" t="s">
        <v>33</v>
      </c>
      <c r="H2" t="s">
        <v>26</v>
      </c>
      <c r="I2" t="s">
        <v>33</v>
      </c>
    </row>
    <row r="3" spans="2:9">
      <c r="B3" t="s">
        <v>44</v>
      </c>
      <c r="C3" s="3">
        <f>SUMIF('Stocks Dashboard'!$E$3:$E$12,Helper!B3,'Stocks Dashboard'!$K$3:$K$12)</f>
        <v>0.14766516688273726</v>
      </c>
      <c r="H3" t="s">
        <v>38</v>
      </c>
      <c r="I3" s="3">
        <f>SUMIF('Stocks Dashboard'!$D$3:$D$12,Helper!H3,'Stocks Dashboard'!$K$3:$K$12)</f>
        <v>0.79526678359897296</v>
      </c>
    </row>
    <row r="4" spans="2:9">
      <c r="B4" t="s">
        <v>45</v>
      </c>
      <c r="C4" s="3">
        <f>SUMIF('Stocks Dashboard'!$E$3:$E$12,Helper!B4,'Stocks Dashboard'!$K$3:$K$12)</f>
        <v>0.46789445588347439</v>
      </c>
      <c r="H4" t="s">
        <v>39</v>
      </c>
      <c r="I4" s="3">
        <f>SUMIF('Stocks Dashboard'!$D$3:$D$12,Helper!H4,'Stocks Dashboard'!$K$3:$K$12)</f>
        <v>0.11309387630595591</v>
      </c>
    </row>
    <row r="5" spans="2:9">
      <c r="B5" t="s">
        <v>46</v>
      </c>
      <c r="C5" s="3">
        <f>SUMIF('Stocks Dashboard'!$E$3:$E$12,Helper!B5,'Stocks Dashboard'!$K$3:$K$12)</f>
        <v>0.38444037723378838</v>
      </c>
      <c r="H5" t="s">
        <v>40</v>
      </c>
      <c r="I5" s="3">
        <f>SUMIF('Stocks Dashboard'!$D$3:$D$12,Helper!H5,'Stocks Dashboard'!$K$3:$K$12)</f>
        <v>8.0454510790818279E-2</v>
      </c>
    </row>
    <row r="6" spans="2:9">
      <c r="C6" s="4">
        <f>SUM(C3:C5)</f>
        <v>1</v>
      </c>
      <c r="H6" t="s">
        <v>41</v>
      </c>
      <c r="I6" s="3">
        <f>SUMIF('Stocks Dashboard'!$D$3:$D$12,Helper!H6,'Stocks Dashboard'!$K$3:$K$12)</f>
        <v>1.1184829304252778E-2</v>
      </c>
    </row>
    <row r="7" spans="2:9">
      <c r="I7" s="4">
        <f>SUM(I3:I6)</f>
        <v>0.99999999999999989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A2" sqref="A2:F21"/>
    </sheetView>
  </sheetViews>
  <sheetFormatPr defaultColWidth="45.4140625" defaultRowHeight="13.9"/>
  <cols>
    <col min="1" max="1" width="15" style="37" customWidth="1"/>
    <col min="2" max="2" width="24.08203125" style="37" customWidth="1"/>
    <col min="3" max="3" width="19.58203125" style="37" customWidth="1"/>
    <col min="4" max="5" width="19.58203125" style="39" customWidth="1"/>
    <col min="6" max="6" width="15.33203125" style="39" customWidth="1"/>
    <col min="7" max="16384" width="45.4140625" style="37"/>
  </cols>
  <sheetData>
    <row r="1" spans="1:9" ht="14.4" thickBot="1">
      <c r="A1" s="49" t="s">
        <v>47</v>
      </c>
      <c r="B1" s="49" t="s">
        <v>48</v>
      </c>
      <c r="C1" s="50" t="s">
        <v>49</v>
      </c>
      <c r="D1" s="51" t="s">
        <v>50</v>
      </c>
      <c r="E1" s="51" t="s">
        <v>51</v>
      </c>
      <c r="F1" s="51" t="s">
        <v>52</v>
      </c>
      <c r="G1" s="52" t="s">
        <v>53</v>
      </c>
    </row>
    <row r="2" spans="1:9" ht="15.4">
      <c r="A2" s="77" t="s">
        <v>5</v>
      </c>
      <c r="B2" s="78" t="s">
        <v>54</v>
      </c>
      <c r="C2" s="68">
        <v>46098</v>
      </c>
      <c r="D2" s="76">
        <v>185.06</v>
      </c>
      <c r="E2" s="76">
        <v>181.93</v>
      </c>
      <c r="F2" s="58">
        <f t="shared" ref="F2:F21" si="0">IF(OR(D2=0,NOT(ISNUMBER(D2)),NOT(ISNUMBER(E2))),"",(E2 - D2) / D2)</f>
        <v>-1.6913433481033153E-2</v>
      </c>
      <c r="G2" s="67" t="s">
        <v>55</v>
      </c>
      <c r="I2" s="56"/>
    </row>
    <row r="3" spans="1:9" ht="15.4">
      <c r="A3" s="77" t="s">
        <v>5</v>
      </c>
      <c r="B3" s="78" t="s">
        <v>54</v>
      </c>
      <c r="C3" s="68">
        <v>46099</v>
      </c>
      <c r="D3" s="76">
        <v>182.48</v>
      </c>
      <c r="E3" s="76">
        <v>180.4</v>
      </c>
      <c r="F3" s="58">
        <f t="shared" si="0"/>
        <v>-1.1398509425690401E-2</v>
      </c>
      <c r="G3" s="67" t="s">
        <v>56</v>
      </c>
    </row>
    <row r="4" spans="1:9" ht="15.4">
      <c r="A4" s="77" t="s">
        <v>5</v>
      </c>
      <c r="B4" s="78" t="s">
        <v>54</v>
      </c>
      <c r="C4" s="68">
        <v>46100</v>
      </c>
      <c r="D4" s="76">
        <v>178.01</v>
      </c>
      <c r="E4" s="76">
        <v>178.56</v>
      </c>
      <c r="F4" s="58">
        <f t="shared" si="0"/>
        <v>3.0897140610078727E-3</v>
      </c>
      <c r="G4" s="67"/>
    </row>
    <row r="5" spans="1:9" ht="15.4">
      <c r="A5" s="77" t="s">
        <v>5</v>
      </c>
      <c r="B5" s="78" t="s">
        <v>54</v>
      </c>
      <c r="C5" s="68">
        <v>46101</v>
      </c>
      <c r="D5" s="76">
        <v>178</v>
      </c>
      <c r="E5" s="76">
        <v>172.7</v>
      </c>
      <c r="F5" s="58">
        <f t="shared" si="0"/>
        <v>-2.9775280898876468E-2</v>
      </c>
      <c r="G5" s="67" t="s">
        <v>57</v>
      </c>
    </row>
    <row r="6" spans="1:9" ht="15.4">
      <c r="A6" s="77" t="s">
        <v>5</v>
      </c>
      <c r="B6" s="78" t="s">
        <v>54</v>
      </c>
      <c r="C6" s="68">
        <v>46105</v>
      </c>
      <c r="D6" s="76">
        <v>174.83</v>
      </c>
      <c r="E6" s="76">
        <v>175.2</v>
      </c>
      <c r="F6" s="58">
        <f t="shared" si="0"/>
        <v>2.1163415889720078E-3</v>
      </c>
      <c r="G6" s="67" t="s">
        <v>58</v>
      </c>
    </row>
    <row r="7" spans="1:9" ht="15.4">
      <c r="A7" s="77" t="s">
        <v>5</v>
      </c>
      <c r="B7" s="78" t="s">
        <v>54</v>
      </c>
      <c r="C7" s="68">
        <v>46106</v>
      </c>
      <c r="D7" s="76">
        <v>177.1</v>
      </c>
      <c r="E7" s="76">
        <v>178.68</v>
      </c>
      <c r="F7" s="58">
        <f t="shared" si="0"/>
        <v>8.9215132693394265E-3</v>
      </c>
      <c r="G7" s="67"/>
    </row>
    <row r="8" spans="1:9" ht="15.4">
      <c r="A8" s="77" t="s">
        <v>5</v>
      </c>
      <c r="B8" s="78" t="s">
        <v>54</v>
      </c>
      <c r="C8" s="68">
        <v>46107</v>
      </c>
      <c r="D8" s="76">
        <v>176.07</v>
      </c>
      <c r="E8" s="76">
        <v>171.24</v>
      </c>
      <c r="F8" s="58">
        <f t="shared" si="0"/>
        <v>-2.7432271255750464E-2</v>
      </c>
      <c r="G8" s="67" t="s">
        <v>59</v>
      </c>
    </row>
    <row r="9" spans="1:9" ht="15.4">
      <c r="A9" s="77" t="s">
        <v>5</v>
      </c>
      <c r="B9" s="78" t="s">
        <v>54</v>
      </c>
      <c r="C9" s="68">
        <v>46108</v>
      </c>
      <c r="D9" s="76">
        <v>170</v>
      </c>
      <c r="E9" s="76">
        <v>167.52</v>
      </c>
      <c r="F9" s="58">
        <f t="shared" si="0"/>
        <v>-1.4588235294117588E-2</v>
      </c>
      <c r="G9" s="67" t="s">
        <v>60</v>
      </c>
    </row>
    <row r="10" spans="1:9" ht="15.4">
      <c r="A10" s="77" t="s">
        <v>5</v>
      </c>
      <c r="B10" s="78" t="s">
        <v>54</v>
      </c>
      <c r="C10" s="68">
        <v>46112</v>
      </c>
      <c r="D10" s="76">
        <v>168.78</v>
      </c>
      <c r="E10" s="76">
        <v>165.17</v>
      </c>
      <c r="F10" s="58">
        <f t="shared" si="0"/>
        <v>-2.1388790141012051E-2</v>
      </c>
      <c r="G10" s="67" t="s">
        <v>61</v>
      </c>
    </row>
    <row r="11" spans="1:9" ht="15.4">
      <c r="A11" s="77" t="s">
        <v>5</v>
      </c>
      <c r="B11" s="78" t="s">
        <v>54</v>
      </c>
      <c r="C11" s="68">
        <v>46113</v>
      </c>
      <c r="D11" s="76">
        <v>166.97</v>
      </c>
      <c r="E11" s="76">
        <v>174.4</v>
      </c>
      <c r="F11" s="58">
        <f t="shared" si="0"/>
        <v>4.4499011798526722E-2</v>
      </c>
      <c r="G11" s="67" t="s">
        <v>62</v>
      </c>
    </row>
    <row r="12" spans="1:9" ht="15.4">
      <c r="A12" s="77" t="s">
        <v>5</v>
      </c>
      <c r="B12" s="78" t="s">
        <v>54</v>
      </c>
      <c r="C12" s="68">
        <v>46114</v>
      </c>
      <c r="D12" s="76">
        <v>176</v>
      </c>
      <c r="E12" s="76">
        <v>175.75</v>
      </c>
      <c r="F12" s="58">
        <f t="shared" si="0"/>
        <v>-1.4204545454545455E-3</v>
      </c>
      <c r="G12" s="67"/>
    </row>
    <row r="13" spans="1:9" ht="15.4">
      <c r="A13" s="77" t="s">
        <v>5</v>
      </c>
      <c r="B13" s="78" t="s">
        <v>54</v>
      </c>
      <c r="C13" s="68">
        <v>46115</v>
      </c>
      <c r="D13" s="76">
        <v>172.18</v>
      </c>
      <c r="E13" s="76">
        <v>177.39</v>
      </c>
      <c r="F13" s="58">
        <f t="shared" si="0"/>
        <v>3.0259031246369958E-2</v>
      </c>
      <c r="G13" s="67"/>
    </row>
    <row r="14" spans="1:9" ht="15.4">
      <c r="A14" s="77" t="s">
        <v>5</v>
      </c>
      <c r="B14" s="78" t="s">
        <v>54</v>
      </c>
      <c r="C14" s="68">
        <v>46119</v>
      </c>
      <c r="D14" s="76">
        <v>177.16</v>
      </c>
      <c r="E14" s="76">
        <v>177.64</v>
      </c>
      <c r="F14" s="58">
        <f t="shared" si="0"/>
        <v>2.7094152178820828E-3</v>
      </c>
      <c r="G14" s="67"/>
    </row>
    <row r="15" spans="1:9" ht="15.4">
      <c r="A15" s="77" t="s">
        <v>5</v>
      </c>
      <c r="B15" s="78" t="s">
        <v>54</v>
      </c>
      <c r="C15" s="68">
        <v>46120</v>
      </c>
      <c r="D15" s="76">
        <v>175.73</v>
      </c>
      <c r="E15" s="76">
        <v>178.1</v>
      </c>
      <c r="F15" s="58">
        <f t="shared" si="0"/>
        <v>1.3486598759460563E-2</v>
      </c>
      <c r="G15" s="67"/>
    </row>
    <row r="16" spans="1:9" ht="15.4">
      <c r="A16" s="77" t="s">
        <v>5</v>
      </c>
      <c r="B16" s="78" t="s">
        <v>54</v>
      </c>
      <c r="C16" s="68">
        <v>46121</v>
      </c>
      <c r="D16" s="76">
        <v>184.5</v>
      </c>
      <c r="E16" s="76">
        <v>182.08</v>
      </c>
      <c r="F16" s="58">
        <f t="shared" si="0"/>
        <v>-1.3116531165311585E-2</v>
      </c>
      <c r="G16" s="67" t="s">
        <v>63</v>
      </c>
    </row>
    <row r="17" spans="1:7" ht="15.4">
      <c r="A17" s="77" t="s">
        <v>5</v>
      </c>
      <c r="B17" s="78" t="s">
        <v>54</v>
      </c>
      <c r="C17" s="68">
        <v>46122</v>
      </c>
      <c r="D17" s="76">
        <v>181.84</v>
      </c>
      <c r="E17" s="76">
        <v>183.91</v>
      </c>
      <c r="F17" s="58">
        <f t="shared" si="0"/>
        <v>1.1383633963924292E-2</v>
      </c>
      <c r="G17" s="67"/>
    </row>
    <row r="18" spans="1:7" ht="15.4">
      <c r="A18" s="77" t="s">
        <v>5</v>
      </c>
      <c r="B18" s="78" t="s">
        <v>54</v>
      </c>
      <c r="C18" s="68">
        <v>46123</v>
      </c>
      <c r="D18" s="76">
        <v>184.31</v>
      </c>
      <c r="E18" s="76">
        <v>188.63</v>
      </c>
      <c r="F18" s="58">
        <f t="shared" si="0"/>
        <v>2.343877163474577E-2</v>
      </c>
      <c r="G18" s="67" t="s">
        <v>64</v>
      </c>
    </row>
    <row r="19" spans="1:7" ht="15.4">
      <c r="A19" s="77" t="s">
        <v>5</v>
      </c>
      <c r="B19" s="78" t="s">
        <v>54</v>
      </c>
      <c r="C19" s="68">
        <v>46126</v>
      </c>
      <c r="D19" s="76">
        <v>186.03</v>
      </c>
      <c r="E19" s="76">
        <v>189.31</v>
      </c>
      <c r="F19" s="58">
        <f t="shared" si="0"/>
        <v>1.7631564801376128E-2</v>
      </c>
      <c r="G19" s="67"/>
    </row>
    <row r="20" spans="1:7" ht="15.4">
      <c r="A20" s="77" t="s">
        <v>5</v>
      </c>
      <c r="B20" s="78" t="s">
        <v>54</v>
      </c>
      <c r="C20" s="68">
        <v>46127</v>
      </c>
      <c r="D20" s="76">
        <v>190.84</v>
      </c>
      <c r="E20" s="76">
        <v>196.51</v>
      </c>
      <c r="F20" s="58">
        <f t="shared" si="0"/>
        <v>2.9710752462795992E-2</v>
      </c>
      <c r="G20" s="67" t="s">
        <v>65</v>
      </c>
    </row>
    <row r="21" spans="1:7" ht="15.4">
      <c r="A21" s="77" t="s">
        <v>5</v>
      </c>
      <c r="B21" s="78" t="s">
        <v>54</v>
      </c>
      <c r="C21" s="68">
        <v>46128</v>
      </c>
      <c r="D21" s="76">
        <v>196.54</v>
      </c>
      <c r="E21" s="76">
        <v>198.87</v>
      </c>
      <c r="F21" s="58">
        <f t="shared" si="0"/>
        <v>1.18550931108172E-2</v>
      </c>
      <c r="G21" s="67" t="s">
        <v>66</v>
      </c>
    </row>
    <row r="22" spans="1:7" ht="14.4" thickBot="1"/>
    <row r="23" spans="1:7" ht="14.9" thickBot="1">
      <c r="D23" s="64"/>
      <c r="E23" s="65"/>
      <c r="F23" s="66"/>
    </row>
    <row r="24" spans="1:7" ht="14.9" thickBot="1">
      <c r="C24" s="62" t="s">
        <v>140</v>
      </c>
      <c r="D24" s="63" t="s">
        <v>141</v>
      </c>
      <c r="E24" s="63" t="s">
        <v>142</v>
      </c>
      <c r="F24" s="84" t="s">
        <v>67</v>
      </c>
      <c r="G24" s="85"/>
    </row>
    <row r="25" spans="1:7" ht="15.4">
      <c r="C25" s="74">
        <v>185.06</v>
      </c>
      <c r="D25" s="74">
        <v>198.87</v>
      </c>
      <c r="E25" s="58">
        <f>IF(OR(C25=0,NOT(ISNUMBER(C25)),NOT(ISNUMBER(D25))),"",(D25 - C25) / C25)</f>
        <v>7.4624446125580904E-2</v>
      </c>
    </row>
  </sheetData>
  <mergeCells count="1">
    <mergeCell ref="F24:G24"/>
  </mergeCells>
  <conditionalFormatting sqref="F2:F21">
    <cfRule type="cellIs" dxfId="85" priority="3" operator="lessThan">
      <formula>0</formula>
    </cfRule>
    <cfRule type="cellIs" dxfId="84" priority="4" operator="greaterThan">
      <formula>0</formula>
    </cfRule>
  </conditionalFormatting>
  <conditionalFormatting sqref="E25">
    <cfRule type="cellIs" dxfId="83" priority="1" operator="lessThan">
      <formula>0</formula>
    </cfRule>
    <cfRule type="cellIs" dxfId="82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" sqref="A2:F21"/>
    </sheetView>
  </sheetViews>
  <sheetFormatPr defaultColWidth="8.9140625" defaultRowHeight="13.9"/>
  <cols>
    <col min="1" max="1" width="13.58203125" style="37" customWidth="1"/>
    <col min="2" max="2" width="16" style="37" customWidth="1"/>
    <col min="3" max="3" width="15.6640625" style="37" customWidth="1"/>
    <col min="4" max="4" width="14.58203125" style="37" customWidth="1"/>
    <col min="5" max="5" width="13.4140625" style="37" customWidth="1"/>
    <col min="6" max="6" width="15" style="37" customWidth="1"/>
    <col min="7" max="7" width="52.25" style="37" customWidth="1"/>
    <col min="8" max="16384" width="8.9140625" style="37"/>
  </cols>
  <sheetData>
    <row r="1" spans="1:7" ht="14.4" thickBot="1">
      <c r="A1" s="49" t="s">
        <v>47</v>
      </c>
      <c r="B1" s="49" t="s">
        <v>48</v>
      </c>
      <c r="C1" s="53" t="s">
        <v>49</v>
      </c>
      <c r="D1" s="52" t="s">
        <v>50</v>
      </c>
      <c r="E1" s="52" t="s">
        <v>51</v>
      </c>
      <c r="F1" s="52" t="s">
        <v>52</v>
      </c>
      <c r="G1" s="52" t="s">
        <v>53</v>
      </c>
    </row>
    <row r="2" spans="1:7" ht="15.4">
      <c r="A2" s="77" t="s">
        <v>7</v>
      </c>
      <c r="B2" s="78" t="s">
        <v>68</v>
      </c>
      <c r="C2" s="68">
        <v>46098</v>
      </c>
      <c r="D2" s="70">
        <v>67.11</v>
      </c>
      <c r="E2" s="70">
        <v>67.319999999999993</v>
      </c>
      <c r="F2" s="58">
        <f>IF(OR(D2=0,NOT(ISNUMBER(D2)),NOT(ISNUMBER(E2))),"",(E2 - D2) / D2)</f>
        <v>3.1291908806436262E-3</v>
      </c>
      <c r="G2" s="67"/>
    </row>
    <row r="3" spans="1:7" ht="15.4">
      <c r="A3" s="77" t="s">
        <v>7</v>
      </c>
      <c r="B3" s="78" t="s">
        <v>68</v>
      </c>
      <c r="C3" s="68">
        <v>46099</v>
      </c>
      <c r="D3" s="70">
        <v>66.72</v>
      </c>
      <c r="E3" s="70">
        <v>67.66</v>
      </c>
      <c r="F3" s="58">
        <f t="shared" ref="F3:F21" si="0">IF(OR(D3=0,NOT(ISNUMBER(D3)),NOT(ISNUMBER(E3))),"",(E3 - D3) / D3)</f>
        <v>1.4088729016786537E-2</v>
      </c>
      <c r="G3" s="67"/>
    </row>
    <row r="4" spans="1:7" ht="15.4">
      <c r="A4" s="77" t="s">
        <v>7</v>
      </c>
      <c r="B4" s="78" t="s">
        <v>68</v>
      </c>
      <c r="C4" s="68">
        <v>46100</v>
      </c>
      <c r="D4" s="70">
        <v>67.98</v>
      </c>
      <c r="E4" s="70">
        <v>67.27</v>
      </c>
      <c r="F4" s="58">
        <f t="shared" si="0"/>
        <v>-1.0444248308326095E-2</v>
      </c>
      <c r="G4" s="67"/>
    </row>
    <row r="5" spans="1:7" ht="15.4">
      <c r="A5" s="77" t="s">
        <v>7</v>
      </c>
      <c r="B5" s="78" t="s">
        <v>68</v>
      </c>
      <c r="C5" s="68">
        <v>46101</v>
      </c>
      <c r="D5" s="70">
        <v>67.42</v>
      </c>
      <c r="E5" s="70">
        <v>66.95</v>
      </c>
      <c r="F5" s="58">
        <f t="shared" si="0"/>
        <v>-6.9712251557401197E-3</v>
      </c>
      <c r="G5" s="67"/>
    </row>
    <row r="6" spans="1:7" ht="15.4">
      <c r="A6" s="77" t="s">
        <v>7</v>
      </c>
      <c r="B6" s="78" t="s">
        <v>68</v>
      </c>
      <c r="C6" s="68">
        <v>46105</v>
      </c>
      <c r="D6" s="70">
        <v>66.31</v>
      </c>
      <c r="E6" s="70">
        <v>66.599999999999994</v>
      </c>
      <c r="F6" s="58">
        <f t="shared" si="0"/>
        <v>4.3733976775749061E-3</v>
      </c>
      <c r="G6" s="67"/>
    </row>
    <row r="7" spans="1:7" ht="15.4">
      <c r="A7" s="77" t="s">
        <v>7</v>
      </c>
      <c r="B7" s="78" t="s">
        <v>68</v>
      </c>
      <c r="C7" s="68">
        <v>46106</v>
      </c>
      <c r="D7" s="70">
        <v>67.22</v>
      </c>
      <c r="E7" s="70">
        <v>66.84</v>
      </c>
      <c r="F7" s="58">
        <f t="shared" si="0"/>
        <v>-5.653079440642598E-3</v>
      </c>
      <c r="G7" s="67"/>
    </row>
    <row r="8" spans="1:7" ht="15.4">
      <c r="A8" s="77" t="s">
        <v>7</v>
      </c>
      <c r="B8" s="78" t="s">
        <v>68</v>
      </c>
      <c r="C8" s="68">
        <v>46107</v>
      </c>
      <c r="D8" s="70">
        <v>66.84</v>
      </c>
      <c r="E8" s="70">
        <v>66.09</v>
      </c>
      <c r="F8" s="58">
        <f t="shared" si="0"/>
        <v>-1.1220825852782765E-2</v>
      </c>
      <c r="G8" s="67"/>
    </row>
    <row r="9" spans="1:7" ht="15.4">
      <c r="A9" s="77" t="s">
        <v>7</v>
      </c>
      <c r="B9" s="78" t="s">
        <v>68</v>
      </c>
      <c r="C9" s="68">
        <v>46108</v>
      </c>
      <c r="D9" s="70">
        <v>65.91</v>
      </c>
      <c r="E9" s="70">
        <v>62.25</v>
      </c>
      <c r="F9" s="58">
        <f t="shared" si="0"/>
        <v>-5.5530268548019977E-2</v>
      </c>
      <c r="G9" s="67" t="s">
        <v>69</v>
      </c>
    </row>
    <row r="10" spans="1:7" ht="15.4">
      <c r="A10" s="77" t="s">
        <v>7</v>
      </c>
      <c r="B10" s="78" t="s">
        <v>68</v>
      </c>
      <c r="C10" s="68">
        <v>46112</v>
      </c>
      <c r="D10" s="70">
        <v>62.35</v>
      </c>
      <c r="E10" s="70">
        <v>61.9</v>
      </c>
      <c r="F10" s="58">
        <f t="shared" si="0"/>
        <v>-7.2173215717722984E-3</v>
      </c>
      <c r="G10" s="67"/>
    </row>
    <row r="11" spans="1:7" ht="15.4">
      <c r="A11" s="77" t="s">
        <v>7</v>
      </c>
      <c r="B11" s="78" t="s">
        <v>68</v>
      </c>
      <c r="C11" s="68">
        <v>46113</v>
      </c>
      <c r="D11" s="70">
        <v>62.77</v>
      </c>
      <c r="E11" s="70">
        <v>62.8</v>
      </c>
      <c r="F11" s="58">
        <f t="shared" si="0"/>
        <v>4.7793531942001005E-4</v>
      </c>
      <c r="G11" s="67" t="s">
        <v>70</v>
      </c>
    </row>
    <row r="12" spans="1:7" ht="15.4">
      <c r="A12" s="77" t="s">
        <v>7</v>
      </c>
      <c r="B12" s="78" t="s">
        <v>68</v>
      </c>
      <c r="C12" s="68">
        <v>46114</v>
      </c>
      <c r="D12" s="70">
        <v>62.8</v>
      </c>
      <c r="E12" s="70">
        <v>62.37</v>
      </c>
      <c r="F12" s="58">
        <f t="shared" si="0"/>
        <v>-6.8471337579617793E-3</v>
      </c>
      <c r="G12" s="67"/>
    </row>
    <row r="13" spans="1:7" ht="15.4">
      <c r="A13" s="77" t="s">
        <v>7</v>
      </c>
      <c r="B13" s="78" t="s">
        <v>68</v>
      </c>
      <c r="C13" s="68">
        <v>46115</v>
      </c>
      <c r="D13" s="70">
        <v>61.6</v>
      </c>
      <c r="E13" s="70">
        <v>62.22</v>
      </c>
      <c r="F13" s="58">
        <f t="shared" si="0"/>
        <v>1.0064935064935023E-2</v>
      </c>
      <c r="G13" s="67"/>
    </row>
    <row r="14" spans="1:7" ht="15.4">
      <c r="A14" s="77" t="s">
        <v>7</v>
      </c>
      <c r="B14" s="78" t="s">
        <v>68</v>
      </c>
      <c r="C14" s="68">
        <v>46119</v>
      </c>
      <c r="D14" s="70">
        <v>62.22</v>
      </c>
      <c r="E14" s="70">
        <v>63.21</v>
      </c>
      <c r="F14" s="58">
        <f t="shared" si="0"/>
        <v>1.591128254580524E-2</v>
      </c>
      <c r="G14" s="67"/>
    </row>
    <row r="15" spans="1:7" ht="15.4">
      <c r="A15" s="77" t="s">
        <v>7</v>
      </c>
      <c r="B15" s="78" t="s">
        <v>68</v>
      </c>
      <c r="C15" s="68">
        <v>46120</v>
      </c>
      <c r="D15" s="70">
        <v>63.1</v>
      </c>
      <c r="E15" s="70">
        <v>63.11</v>
      </c>
      <c r="F15" s="58">
        <f t="shared" si="0"/>
        <v>1.5847860538824104E-4</v>
      </c>
      <c r="G15" s="67"/>
    </row>
    <row r="16" spans="1:7" ht="15.4">
      <c r="A16" s="77" t="s">
        <v>7</v>
      </c>
      <c r="B16" s="78" t="s">
        <v>68</v>
      </c>
      <c r="C16" s="68">
        <v>46121</v>
      </c>
      <c r="D16" s="70">
        <v>65.010000000000005</v>
      </c>
      <c r="E16" s="70">
        <v>65.8</v>
      </c>
      <c r="F16" s="58">
        <f t="shared" si="0"/>
        <v>1.2151976618981571E-2</v>
      </c>
      <c r="G16" s="67" t="s">
        <v>71</v>
      </c>
    </row>
    <row r="17" spans="1:7" ht="15.4">
      <c r="A17" s="77" t="s">
        <v>7</v>
      </c>
      <c r="B17" s="78" t="s">
        <v>68</v>
      </c>
      <c r="C17" s="68">
        <v>46122</v>
      </c>
      <c r="D17" s="70">
        <v>65.39</v>
      </c>
      <c r="E17" s="70">
        <v>65.680000000000007</v>
      </c>
      <c r="F17" s="58">
        <f t="shared" si="0"/>
        <v>4.4349288882093016E-3</v>
      </c>
      <c r="G17" s="67"/>
    </row>
    <row r="18" spans="1:7" ht="15.4">
      <c r="A18" s="77" t="s">
        <v>7</v>
      </c>
      <c r="B18" s="78" t="s">
        <v>68</v>
      </c>
      <c r="C18" s="68">
        <v>46123</v>
      </c>
      <c r="D18" s="70">
        <v>65.900000000000006</v>
      </c>
      <c r="E18" s="70">
        <v>64.02</v>
      </c>
      <c r="F18" s="58">
        <f t="shared" si="0"/>
        <v>-2.8528072837632919E-2</v>
      </c>
      <c r="G18" s="67" t="s">
        <v>72</v>
      </c>
    </row>
    <row r="19" spans="1:7" ht="15.4">
      <c r="A19" s="77" t="s">
        <v>7</v>
      </c>
      <c r="B19" s="78" t="s">
        <v>68</v>
      </c>
      <c r="C19" s="68">
        <v>46126</v>
      </c>
      <c r="D19" s="70">
        <v>63.99</v>
      </c>
      <c r="E19" s="70">
        <v>63.12</v>
      </c>
      <c r="F19" s="58">
        <f t="shared" si="0"/>
        <v>-1.3595874355368097E-2</v>
      </c>
      <c r="G19" s="67"/>
    </row>
    <row r="20" spans="1:7" ht="15.4">
      <c r="A20" s="77" t="s">
        <v>7</v>
      </c>
      <c r="B20" s="78" t="s">
        <v>68</v>
      </c>
      <c r="C20" s="68">
        <v>46127</v>
      </c>
      <c r="D20" s="70">
        <v>62.69</v>
      </c>
      <c r="E20" s="70">
        <v>62.95</v>
      </c>
      <c r="F20" s="58">
        <f t="shared" si="0"/>
        <v>4.1473919285373289E-3</v>
      </c>
      <c r="G20" s="67"/>
    </row>
    <row r="21" spans="1:7" ht="15.4">
      <c r="A21" s="77" t="s">
        <v>7</v>
      </c>
      <c r="B21" s="78" t="s">
        <v>68</v>
      </c>
      <c r="C21" s="68">
        <v>46128</v>
      </c>
      <c r="D21" s="70">
        <v>63.04</v>
      </c>
      <c r="E21" s="70">
        <v>61.54</v>
      </c>
      <c r="F21" s="58">
        <f t="shared" si="0"/>
        <v>-2.3794416243654824E-2</v>
      </c>
      <c r="G21" s="67" t="s">
        <v>73</v>
      </c>
    </row>
    <row r="22" spans="1:7" ht="14.9" thickBot="1">
      <c r="C22" s="40"/>
      <c r="D22" s="41"/>
      <c r="E22" s="41"/>
      <c r="F22" s="42"/>
      <c r="G22" s="43"/>
    </row>
    <row r="23" spans="1:7" ht="14.9" thickBot="1">
      <c r="C23" s="59"/>
      <c r="D23" s="60"/>
      <c r="E23" s="61"/>
    </row>
    <row r="24" spans="1:7" ht="14.9" thickBot="1">
      <c r="C24" s="62" t="s">
        <v>140</v>
      </c>
      <c r="D24" s="63" t="s">
        <v>141</v>
      </c>
      <c r="E24" s="63" t="s">
        <v>142</v>
      </c>
      <c r="F24" s="86" t="s">
        <v>74</v>
      </c>
      <c r="G24" s="87"/>
    </row>
    <row r="25" spans="1:7" ht="15.4">
      <c r="C25" s="74">
        <v>67.11</v>
      </c>
      <c r="D25" s="74">
        <v>61.54</v>
      </c>
      <c r="E25" s="58">
        <f>IF(OR(C25=0,NOT(ISNUMBER(C25)),NOT(ISNUMBER(D25))),"",(D25 - C25) / C25)</f>
        <v>-8.2998062881835796E-2</v>
      </c>
    </row>
  </sheetData>
  <mergeCells count="1">
    <mergeCell ref="F24:G24"/>
  </mergeCells>
  <conditionalFormatting sqref="F2:F21">
    <cfRule type="cellIs" dxfId="81" priority="3" operator="lessThan">
      <formula>0</formula>
    </cfRule>
    <cfRule type="cellIs" dxfId="80" priority="4" operator="greaterThan">
      <formula>0</formula>
    </cfRule>
  </conditionalFormatting>
  <conditionalFormatting sqref="E25">
    <cfRule type="cellIs" dxfId="79" priority="1" operator="lessThan">
      <formula>0</formula>
    </cfRule>
    <cfRule type="cellIs" dxfId="78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" sqref="A2:F21"/>
    </sheetView>
  </sheetViews>
  <sheetFormatPr defaultColWidth="8.9140625" defaultRowHeight="13.9"/>
  <cols>
    <col min="1" max="1" width="16.25" style="37" customWidth="1"/>
    <col min="2" max="2" width="18.6640625" style="37" customWidth="1"/>
    <col min="3" max="4" width="20" style="37" customWidth="1"/>
    <col min="5" max="5" width="16.4140625" style="37" customWidth="1"/>
    <col min="6" max="6" width="19.25" style="37" customWidth="1"/>
    <col min="7" max="7" width="47.75" style="37" customWidth="1"/>
    <col min="8" max="16384" width="8.9140625" style="37"/>
  </cols>
  <sheetData>
    <row r="1" spans="1:7" ht="14.4" thickBot="1">
      <c r="A1" s="49" t="s">
        <v>47</v>
      </c>
      <c r="B1" s="49" t="s">
        <v>48</v>
      </c>
      <c r="C1" s="49" t="s">
        <v>49</v>
      </c>
      <c r="D1" s="51" t="s">
        <v>50</v>
      </c>
      <c r="E1" s="51" t="s">
        <v>51</v>
      </c>
      <c r="F1" s="51" t="s">
        <v>52</v>
      </c>
      <c r="G1" s="52" t="s">
        <v>53</v>
      </c>
    </row>
    <row r="2" spans="1:7" ht="15.4">
      <c r="A2" s="77" t="s">
        <v>9</v>
      </c>
      <c r="B2" s="78" t="s">
        <v>75</v>
      </c>
      <c r="C2" s="73">
        <v>46098</v>
      </c>
      <c r="D2" s="70">
        <v>74.430000000000007</v>
      </c>
      <c r="E2" s="70">
        <v>75.28</v>
      </c>
      <c r="F2" s="58">
        <f>IF(OR(D2=0,NOT(ISNUMBER(D2)),NOT(ISNUMBER(E2))),"",(E2 - D2) / D2)</f>
        <v>1.1420126293161283E-2</v>
      </c>
      <c r="G2" s="67"/>
    </row>
    <row r="3" spans="1:7" ht="15.4">
      <c r="A3" s="77" t="s">
        <v>9</v>
      </c>
      <c r="B3" s="78" t="s">
        <v>75</v>
      </c>
      <c r="C3" s="73">
        <v>46099</v>
      </c>
      <c r="D3" s="70">
        <v>74.239999999999995</v>
      </c>
      <c r="E3" s="70">
        <v>73.97</v>
      </c>
      <c r="F3" s="58">
        <f t="shared" ref="F3:F21" si="0">IF(OR(D3=0,NOT(ISNUMBER(D3)),NOT(ISNUMBER(E3))),"",(E3 - D3) / D3)</f>
        <v>-3.6368534482758086E-3</v>
      </c>
      <c r="G3" s="67"/>
    </row>
    <row r="4" spans="1:7" ht="15.4">
      <c r="A4" s="77" t="s">
        <v>9</v>
      </c>
      <c r="B4" s="78" t="s">
        <v>75</v>
      </c>
      <c r="C4" s="73">
        <v>46100</v>
      </c>
      <c r="D4" s="70">
        <v>73.8</v>
      </c>
      <c r="E4" s="70">
        <v>74.73</v>
      </c>
      <c r="F4" s="58">
        <f t="shared" si="0"/>
        <v>1.2601626016260255E-2</v>
      </c>
      <c r="G4" s="67"/>
    </row>
    <row r="5" spans="1:7" ht="15.4">
      <c r="A5" s="77" t="s">
        <v>9</v>
      </c>
      <c r="B5" s="78" t="s">
        <v>75</v>
      </c>
      <c r="C5" s="73">
        <v>46101</v>
      </c>
      <c r="D5" s="70">
        <v>74.36</v>
      </c>
      <c r="E5" s="70">
        <v>73.849999999999994</v>
      </c>
      <c r="F5" s="58">
        <f t="shared" si="0"/>
        <v>-6.858526089295389E-3</v>
      </c>
      <c r="G5" s="67"/>
    </row>
    <row r="6" spans="1:7" ht="15.4">
      <c r="A6" s="77" t="s">
        <v>9</v>
      </c>
      <c r="B6" s="78" t="s">
        <v>75</v>
      </c>
      <c r="C6" s="73">
        <v>46105</v>
      </c>
      <c r="D6" s="70">
        <v>74.31</v>
      </c>
      <c r="E6" s="70">
        <v>72.37</v>
      </c>
      <c r="F6" s="58">
        <f t="shared" si="0"/>
        <v>-2.6106849683757202E-2</v>
      </c>
      <c r="G6" s="67" t="s">
        <v>76</v>
      </c>
    </row>
    <row r="7" spans="1:7" ht="15.4">
      <c r="A7" s="77" t="s">
        <v>9</v>
      </c>
      <c r="B7" s="78" t="s">
        <v>75</v>
      </c>
      <c r="C7" s="73">
        <v>46106</v>
      </c>
      <c r="D7" s="70">
        <v>74.790000000000006</v>
      </c>
      <c r="E7" s="70">
        <v>69.28</v>
      </c>
      <c r="F7" s="58">
        <f t="shared" si="0"/>
        <v>-7.3672950929268677E-2</v>
      </c>
      <c r="G7" s="67" t="s">
        <v>77</v>
      </c>
    </row>
    <row r="8" spans="1:7" ht="15.4">
      <c r="A8" s="77" t="s">
        <v>9</v>
      </c>
      <c r="B8" s="78" t="s">
        <v>75</v>
      </c>
      <c r="C8" s="73">
        <v>46107</v>
      </c>
      <c r="D8" s="70">
        <v>68.55</v>
      </c>
      <c r="E8" s="70">
        <v>69.38</v>
      </c>
      <c r="F8" s="58">
        <f t="shared" si="0"/>
        <v>1.2107950401167007E-2</v>
      </c>
      <c r="G8" s="67" t="s">
        <v>78</v>
      </c>
    </row>
    <row r="9" spans="1:7" ht="15.4">
      <c r="A9" s="77" t="s">
        <v>9</v>
      </c>
      <c r="B9" s="78" t="s">
        <v>75</v>
      </c>
      <c r="C9" s="73">
        <v>46108</v>
      </c>
      <c r="D9" s="70">
        <v>67.75</v>
      </c>
      <c r="E9" s="70">
        <v>66.47</v>
      </c>
      <c r="F9" s="58">
        <f t="shared" si="0"/>
        <v>-1.8892988929889314E-2</v>
      </c>
      <c r="G9" s="67" t="s">
        <v>79</v>
      </c>
    </row>
    <row r="10" spans="1:7" ht="15.4">
      <c r="A10" s="77" t="s">
        <v>9</v>
      </c>
      <c r="B10" s="78" t="s">
        <v>75</v>
      </c>
      <c r="C10" s="73">
        <v>46112</v>
      </c>
      <c r="D10" s="70">
        <v>67.010000000000005</v>
      </c>
      <c r="E10" s="70">
        <v>67.88</v>
      </c>
      <c r="F10" s="58">
        <f t="shared" si="0"/>
        <v>1.2983136845246834E-2</v>
      </c>
      <c r="G10" s="67"/>
    </row>
    <row r="11" spans="1:7" ht="15.4">
      <c r="A11" s="77" t="s">
        <v>9</v>
      </c>
      <c r="B11" s="78" t="s">
        <v>75</v>
      </c>
      <c r="C11" s="73">
        <v>46113</v>
      </c>
      <c r="D11" s="70">
        <v>68.900000000000006</v>
      </c>
      <c r="E11" s="70">
        <v>69.11</v>
      </c>
      <c r="F11" s="58">
        <f t="shared" si="0"/>
        <v>3.0478955007255983E-3</v>
      </c>
      <c r="G11" s="67"/>
    </row>
    <row r="12" spans="1:7" ht="15.4">
      <c r="A12" s="77" t="s">
        <v>9</v>
      </c>
      <c r="B12" s="78" t="s">
        <v>75</v>
      </c>
      <c r="C12" s="73">
        <v>46114</v>
      </c>
      <c r="D12" s="70">
        <v>69.95</v>
      </c>
      <c r="E12" s="70">
        <v>68.099999999999994</v>
      </c>
      <c r="F12" s="58">
        <f t="shared" si="0"/>
        <v>-2.6447462473195259E-2</v>
      </c>
      <c r="G12" s="67"/>
    </row>
    <row r="13" spans="1:7" ht="15.4">
      <c r="A13" s="77" t="s">
        <v>9</v>
      </c>
      <c r="B13" s="78" t="s">
        <v>75</v>
      </c>
      <c r="C13" s="73">
        <v>46115</v>
      </c>
      <c r="D13" s="70">
        <v>68.099999999999994</v>
      </c>
      <c r="E13" s="70">
        <v>68.34</v>
      </c>
      <c r="F13" s="58">
        <f t="shared" si="0"/>
        <v>3.5242290748900016E-3</v>
      </c>
      <c r="G13" s="67"/>
    </row>
    <row r="14" spans="1:7" ht="15.4">
      <c r="A14" s="77" t="s">
        <v>9</v>
      </c>
      <c r="B14" s="78" t="s">
        <v>75</v>
      </c>
      <c r="C14" s="73">
        <v>46119</v>
      </c>
      <c r="D14" s="70">
        <v>68.34</v>
      </c>
      <c r="E14" s="70">
        <v>67.7</v>
      </c>
      <c r="F14" s="58">
        <f t="shared" si="0"/>
        <v>-9.3649400058530962E-3</v>
      </c>
      <c r="G14" s="67"/>
    </row>
    <row r="15" spans="1:7" ht="15.4">
      <c r="A15" s="77" t="s">
        <v>9</v>
      </c>
      <c r="B15" s="78" t="s">
        <v>75</v>
      </c>
      <c r="C15" s="73">
        <v>46120</v>
      </c>
      <c r="D15" s="70">
        <v>67.069999999999993</v>
      </c>
      <c r="E15" s="70">
        <v>66.709999999999994</v>
      </c>
      <c r="F15" s="58">
        <f t="shared" si="0"/>
        <v>-5.3675264648874229E-3</v>
      </c>
      <c r="G15" s="67"/>
    </row>
    <row r="16" spans="1:7" ht="15.4">
      <c r="A16" s="77" t="s">
        <v>9</v>
      </c>
      <c r="B16" s="78" t="s">
        <v>75</v>
      </c>
      <c r="C16" s="73">
        <v>46121</v>
      </c>
      <c r="D16" s="70">
        <v>69.260000000000005</v>
      </c>
      <c r="E16" s="70">
        <v>65.64</v>
      </c>
      <c r="F16" s="58">
        <f t="shared" si="0"/>
        <v>-5.226682067571476E-2</v>
      </c>
      <c r="G16" s="67" t="s">
        <v>80</v>
      </c>
    </row>
    <row r="17" spans="1:7" ht="15.4">
      <c r="A17" s="77" t="s">
        <v>9</v>
      </c>
      <c r="B17" s="78" t="s">
        <v>75</v>
      </c>
      <c r="C17" s="73">
        <v>46122</v>
      </c>
      <c r="D17" s="70">
        <v>64.709999999999994</v>
      </c>
      <c r="E17" s="70">
        <v>62.39</v>
      </c>
      <c r="F17" s="58">
        <f t="shared" si="0"/>
        <v>-3.5852263946839644E-2</v>
      </c>
      <c r="G17" s="67" t="s">
        <v>81</v>
      </c>
    </row>
    <row r="18" spans="1:7" ht="15.4">
      <c r="A18" s="77" t="s">
        <v>9</v>
      </c>
      <c r="B18" s="78" t="s">
        <v>75</v>
      </c>
      <c r="C18" s="73">
        <v>46123</v>
      </c>
      <c r="D18" s="70">
        <v>62.5</v>
      </c>
      <c r="E18" s="70">
        <v>58.81</v>
      </c>
      <c r="F18" s="58">
        <f t="shared" si="0"/>
        <v>-5.9039999999999961E-2</v>
      </c>
      <c r="G18" s="67" t="s">
        <v>82</v>
      </c>
    </row>
    <row r="19" spans="1:7" ht="15.4">
      <c r="A19" s="77" t="s">
        <v>9</v>
      </c>
      <c r="B19" s="78" t="s">
        <v>75</v>
      </c>
      <c r="C19" s="73">
        <v>46126</v>
      </c>
      <c r="D19" s="70">
        <v>58.92</v>
      </c>
      <c r="E19" s="70">
        <v>63.55</v>
      </c>
      <c r="F19" s="58">
        <f t="shared" si="0"/>
        <v>7.8581126951798974E-2</v>
      </c>
      <c r="G19" s="67" t="s">
        <v>83</v>
      </c>
    </row>
    <row r="20" spans="1:7" ht="15.4">
      <c r="A20" s="77" t="s">
        <v>9</v>
      </c>
      <c r="B20" s="78" t="s">
        <v>75</v>
      </c>
      <c r="C20" s="73">
        <v>46127</v>
      </c>
      <c r="D20" s="70">
        <v>63.55</v>
      </c>
      <c r="E20" s="70">
        <v>61.69</v>
      </c>
      <c r="F20" s="58">
        <f t="shared" si="0"/>
        <v>-2.9268292682926821E-2</v>
      </c>
      <c r="G20" s="67" t="s">
        <v>84</v>
      </c>
    </row>
    <row r="21" spans="1:7" ht="15.4">
      <c r="A21" s="77" t="s">
        <v>9</v>
      </c>
      <c r="B21" s="78" t="s">
        <v>75</v>
      </c>
      <c r="C21" s="73">
        <v>46128</v>
      </c>
      <c r="D21" s="70">
        <v>64.400000000000006</v>
      </c>
      <c r="E21" s="70">
        <v>65.430000000000007</v>
      </c>
      <c r="F21" s="58">
        <f t="shared" si="0"/>
        <v>1.5993788819875794E-2</v>
      </c>
      <c r="G21" s="67" t="s">
        <v>85</v>
      </c>
    </row>
    <row r="22" spans="1:7" ht="15.4">
      <c r="C22" s="38"/>
      <c r="D22" s="38"/>
      <c r="E22" s="38"/>
      <c r="F22" s="38"/>
      <c r="G22" s="38"/>
    </row>
    <row r="23" spans="1:7" ht="15.9" thickBot="1">
      <c r="C23" s="38"/>
      <c r="D23" s="38"/>
      <c r="E23" s="38"/>
      <c r="F23" s="38"/>
      <c r="G23" s="38"/>
    </row>
    <row r="24" spans="1:7" ht="14.9" thickBot="1">
      <c r="C24" s="62" t="s">
        <v>140</v>
      </c>
      <c r="D24" s="63" t="s">
        <v>141</v>
      </c>
      <c r="E24" s="63" t="s">
        <v>142</v>
      </c>
      <c r="F24" s="86" t="s">
        <v>86</v>
      </c>
      <c r="G24" s="87"/>
    </row>
    <row r="25" spans="1:7" ht="15.4">
      <c r="C25" s="69">
        <v>74.430000000000007</v>
      </c>
      <c r="D25" s="69">
        <v>65.430000000000007</v>
      </c>
      <c r="E25" s="58">
        <f>IF(OR(C25=0,NOT(ISNUMBER(C25)),NOT(ISNUMBER(D25))),"",(D25 - C25) / C25)</f>
        <v>-0.12091898428053204</v>
      </c>
    </row>
  </sheetData>
  <mergeCells count="1">
    <mergeCell ref="F24:G24"/>
  </mergeCells>
  <conditionalFormatting sqref="F2:F21">
    <cfRule type="cellIs" dxfId="77" priority="3" operator="lessThan">
      <formula>0</formula>
    </cfRule>
    <cfRule type="cellIs" dxfId="76" priority="4" operator="greaterThan">
      <formula>0</formula>
    </cfRule>
  </conditionalFormatting>
  <conditionalFormatting sqref="E25">
    <cfRule type="cellIs" dxfId="75" priority="1" operator="lessThan">
      <formula>0</formula>
    </cfRule>
    <cfRule type="cellIs" dxfId="74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" sqref="A2:F21"/>
    </sheetView>
  </sheetViews>
  <sheetFormatPr defaultColWidth="8.9140625" defaultRowHeight="13.9"/>
  <cols>
    <col min="1" max="1" width="15.75" style="37" customWidth="1"/>
    <col min="2" max="2" width="13.08203125" style="37" customWidth="1"/>
    <col min="3" max="3" width="19.25" style="37" customWidth="1"/>
    <col min="4" max="4" width="20.25" style="37" customWidth="1"/>
    <col min="5" max="5" width="15.33203125" style="37" customWidth="1"/>
    <col min="6" max="6" width="19.75" style="37" customWidth="1"/>
    <col min="7" max="7" width="40.08203125" style="37" customWidth="1"/>
    <col min="8" max="16384" width="8.9140625" style="37"/>
  </cols>
  <sheetData>
    <row r="1" spans="1:7" ht="14.4" thickBot="1">
      <c r="A1" s="49" t="s">
        <v>47</v>
      </c>
      <c r="B1" s="49" t="s">
        <v>48</v>
      </c>
      <c r="C1" s="49" t="s">
        <v>49</v>
      </c>
      <c r="D1" s="52" t="s">
        <v>50</v>
      </c>
      <c r="E1" s="52" t="s">
        <v>51</v>
      </c>
      <c r="F1" s="52" t="s">
        <v>52</v>
      </c>
      <c r="G1" s="52" t="s">
        <v>53</v>
      </c>
    </row>
    <row r="2" spans="1:7" ht="15.4">
      <c r="A2" s="77" t="s">
        <v>11</v>
      </c>
      <c r="B2" s="77" t="s">
        <v>87</v>
      </c>
      <c r="C2" s="68">
        <v>46098</v>
      </c>
      <c r="D2" s="70">
        <v>10.94</v>
      </c>
      <c r="E2" s="70">
        <v>10.9</v>
      </c>
      <c r="F2" s="58">
        <f>IF(OR(D2=0,NOT(ISNUMBER(D2)),NOT(ISNUMBER(E2))),"",(E2 - D2) / D2)</f>
        <v>-3.6563071297988255E-3</v>
      </c>
      <c r="G2" s="67"/>
    </row>
    <row r="3" spans="1:7" ht="15.4">
      <c r="A3" s="77" t="s">
        <v>11</v>
      </c>
      <c r="B3" s="77" t="s">
        <v>87</v>
      </c>
      <c r="C3" s="68">
        <v>46099</v>
      </c>
      <c r="D3" s="70">
        <v>10.66</v>
      </c>
      <c r="E3" s="70">
        <v>10.59</v>
      </c>
      <c r="F3" s="58">
        <f t="shared" ref="F3:F21" si="0">IF(OR(D3=0,NOT(ISNUMBER(D3)),NOT(ISNUMBER(E3))),"",(E3 - D3) / D3)</f>
        <v>-6.5666041275797638E-3</v>
      </c>
      <c r="G3" s="67"/>
    </row>
    <row r="4" spans="1:7" ht="15.4">
      <c r="A4" s="77" t="s">
        <v>11</v>
      </c>
      <c r="B4" s="77" t="s">
        <v>87</v>
      </c>
      <c r="C4" s="68">
        <v>46100</v>
      </c>
      <c r="D4" s="70">
        <v>10.31</v>
      </c>
      <c r="E4" s="70">
        <v>10.46</v>
      </c>
      <c r="F4" s="58">
        <f t="shared" si="0"/>
        <v>1.4548981571290044E-2</v>
      </c>
      <c r="G4" s="67"/>
    </row>
    <row r="5" spans="1:7" ht="15.4">
      <c r="A5" s="77" t="s">
        <v>11</v>
      </c>
      <c r="B5" s="77" t="s">
        <v>87</v>
      </c>
      <c r="C5" s="68">
        <v>46101</v>
      </c>
      <c r="D5" s="70">
        <v>10.42</v>
      </c>
      <c r="E5" s="70">
        <v>9.6999999999999993</v>
      </c>
      <c r="F5" s="58">
        <f t="shared" si="0"/>
        <v>-6.9097888675623859E-2</v>
      </c>
      <c r="G5" s="67" t="s">
        <v>88</v>
      </c>
    </row>
    <row r="6" spans="1:7" ht="15.4">
      <c r="A6" s="77" t="s">
        <v>11</v>
      </c>
      <c r="B6" s="77" t="s">
        <v>87</v>
      </c>
      <c r="C6" s="68">
        <v>46105</v>
      </c>
      <c r="D6" s="70">
        <v>9.99</v>
      </c>
      <c r="E6" s="70">
        <v>9.99</v>
      </c>
      <c r="F6" s="58">
        <f t="shared" si="0"/>
        <v>0</v>
      </c>
      <c r="G6" s="67"/>
    </row>
    <row r="7" spans="1:7" ht="15.4">
      <c r="A7" s="77" t="s">
        <v>11</v>
      </c>
      <c r="B7" s="77" t="s">
        <v>87</v>
      </c>
      <c r="C7" s="68">
        <v>46106</v>
      </c>
      <c r="D7" s="70">
        <v>10.1</v>
      </c>
      <c r="E7" s="70">
        <v>10.47</v>
      </c>
      <c r="F7" s="58">
        <f t="shared" si="0"/>
        <v>3.6633663366336736E-2</v>
      </c>
      <c r="G7" s="67" t="s">
        <v>70</v>
      </c>
    </row>
    <row r="8" spans="1:7" ht="15.4">
      <c r="A8" s="77" t="s">
        <v>11</v>
      </c>
      <c r="B8" s="77" t="s">
        <v>87</v>
      </c>
      <c r="C8" s="68">
        <v>46107</v>
      </c>
      <c r="D8" s="70">
        <v>10.220000000000001</v>
      </c>
      <c r="E8" s="70">
        <v>9.7200000000000006</v>
      </c>
      <c r="F8" s="58">
        <f t="shared" si="0"/>
        <v>-4.8923679060665359E-2</v>
      </c>
      <c r="G8" s="67" t="s">
        <v>89</v>
      </c>
    </row>
    <row r="9" spans="1:7" ht="15.4">
      <c r="A9" s="77" t="s">
        <v>11</v>
      </c>
      <c r="B9" s="77" t="s">
        <v>87</v>
      </c>
      <c r="C9" s="68">
        <v>46108</v>
      </c>
      <c r="D9" s="70">
        <v>9.41</v>
      </c>
      <c r="E9" s="70">
        <v>8.75</v>
      </c>
      <c r="F9" s="58">
        <f t="shared" si="0"/>
        <v>-7.013815090329438E-2</v>
      </c>
      <c r="G9" s="67" t="s">
        <v>90</v>
      </c>
    </row>
    <row r="10" spans="1:7" ht="15.4">
      <c r="A10" s="77" t="s">
        <v>11</v>
      </c>
      <c r="B10" s="77" t="s">
        <v>87</v>
      </c>
      <c r="C10" s="68">
        <v>46112</v>
      </c>
      <c r="D10" s="70">
        <v>8.7899999999999991</v>
      </c>
      <c r="E10" s="70">
        <v>8.25</v>
      </c>
      <c r="F10" s="58">
        <f t="shared" si="0"/>
        <v>-6.1433447098976017E-2</v>
      </c>
      <c r="G10" s="67" t="s">
        <v>61</v>
      </c>
    </row>
    <row r="11" spans="1:7" ht="15.4">
      <c r="A11" s="77" t="s">
        <v>11</v>
      </c>
      <c r="B11" s="77" t="s">
        <v>87</v>
      </c>
      <c r="C11" s="68">
        <v>46113</v>
      </c>
      <c r="D11" s="70">
        <v>8.4700000000000006</v>
      </c>
      <c r="E11" s="70">
        <v>8.84</v>
      </c>
      <c r="F11" s="58">
        <f t="shared" si="0"/>
        <v>4.3683589138134499E-2</v>
      </c>
      <c r="G11" s="67" t="s">
        <v>62</v>
      </c>
    </row>
    <row r="12" spans="1:7" ht="15.4">
      <c r="A12" s="77" t="s">
        <v>11</v>
      </c>
      <c r="B12" s="77" t="s">
        <v>87</v>
      </c>
      <c r="C12" s="68">
        <v>46114</v>
      </c>
      <c r="D12" s="70">
        <v>8.94</v>
      </c>
      <c r="E12" s="70">
        <v>8.83</v>
      </c>
      <c r="F12" s="58">
        <f t="shared" si="0"/>
        <v>-1.2304250559284054E-2</v>
      </c>
      <c r="G12" s="67"/>
    </row>
    <row r="13" spans="1:7" ht="15.4">
      <c r="A13" s="77" t="s">
        <v>11</v>
      </c>
      <c r="B13" s="77" t="s">
        <v>87</v>
      </c>
      <c r="C13" s="68">
        <v>46115</v>
      </c>
      <c r="D13" s="70">
        <v>8.39</v>
      </c>
      <c r="E13" s="70">
        <v>8.66</v>
      </c>
      <c r="F13" s="58">
        <f t="shared" si="0"/>
        <v>3.2181168057210913E-2</v>
      </c>
      <c r="G13" s="67"/>
    </row>
    <row r="14" spans="1:7" ht="15.4">
      <c r="A14" s="77" t="s">
        <v>11</v>
      </c>
      <c r="B14" s="77" t="s">
        <v>87</v>
      </c>
      <c r="C14" s="68">
        <v>46119</v>
      </c>
      <c r="D14" s="70">
        <v>8.67</v>
      </c>
      <c r="E14" s="70">
        <v>9.07</v>
      </c>
      <c r="F14" s="58">
        <f t="shared" si="0"/>
        <v>4.6136101499423342E-2</v>
      </c>
      <c r="G14" s="67"/>
    </row>
    <row r="15" spans="1:7" ht="15.4">
      <c r="A15" s="77" t="s">
        <v>11</v>
      </c>
      <c r="B15" s="77" t="s">
        <v>87</v>
      </c>
      <c r="C15" s="68">
        <v>46120</v>
      </c>
      <c r="D15" s="70">
        <v>8.8800000000000008</v>
      </c>
      <c r="E15" s="70">
        <v>8.81</v>
      </c>
      <c r="F15" s="58">
        <f t="shared" si="0"/>
        <v>-7.8828828828829134E-3</v>
      </c>
      <c r="G15" s="67"/>
    </row>
    <row r="16" spans="1:7" ht="15.4">
      <c r="A16" s="77" t="s">
        <v>11</v>
      </c>
      <c r="B16" s="77" t="s">
        <v>87</v>
      </c>
      <c r="C16" s="68">
        <v>46121</v>
      </c>
      <c r="D16" s="70">
        <v>9.5399999999999991</v>
      </c>
      <c r="E16" s="70">
        <v>9.68</v>
      </c>
      <c r="F16" s="58">
        <f t="shared" si="0"/>
        <v>1.4675052410901529E-2</v>
      </c>
      <c r="G16" s="67" t="s">
        <v>91</v>
      </c>
    </row>
    <row r="17" spans="1:7" ht="15.4">
      <c r="A17" s="77" t="s">
        <v>11</v>
      </c>
      <c r="B17" s="77" t="s">
        <v>87</v>
      </c>
      <c r="C17" s="68">
        <v>46122</v>
      </c>
      <c r="D17" s="70">
        <v>9.4</v>
      </c>
      <c r="E17" s="70">
        <v>9.73</v>
      </c>
      <c r="F17" s="58">
        <f t="shared" si="0"/>
        <v>3.5106382978723413E-2</v>
      </c>
      <c r="G17" s="67"/>
    </row>
    <row r="18" spans="1:7" ht="15.4">
      <c r="A18" s="77" t="s">
        <v>11</v>
      </c>
      <c r="B18" s="77" t="s">
        <v>87</v>
      </c>
      <c r="C18" s="68">
        <v>46123</v>
      </c>
      <c r="D18" s="70">
        <v>9.8000000000000007</v>
      </c>
      <c r="E18" s="70">
        <v>9.42</v>
      </c>
      <c r="F18" s="58">
        <f t="shared" si="0"/>
        <v>-3.8775510204081709E-2</v>
      </c>
      <c r="G18" s="67" t="s">
        <v>92</v>
      </c>
    </row>
    <row r="19" spans="1:7" ht="15.4">
      <c r="A19" s="77" t="s">
        <v>11</v>
      </c>
      <c r="B19" s="77" t="s">
        <v>87</v>
      </c>
      <c r="C19" s="68">
        <v>46126</v>
      </c>
      <c r="D19" s="70">
        <v>9.25</v>
      </c>
      <c r="E19" s="70">
        <v>9.65</v>
      </c>
      <c r="F19" s="58">
        <f t="shared" si="0"/>
        <v>4.324324324324328E-2</v>
      </c>
      <c r="G19" s="67"/>
    </row>
    <row r="20" spans="1:7" ht="15.4">
      <c r="A20" s="77" t="s">
        <v>11</v>
      </c>
      <c r="B20" s="77" t="s">
        <v>87</v>
      </c>
      <c r="C20" s="68">
        <v>46127</v>
      </c>
      <c r="D20" s="70">
        <v>10</v>
      </c>
      <c r="E20" s="70">
        <v>10.35</v>
      </c>
      <c r="F20" s="58">
        <f t="shared" si="0"/>
        <v>3.4999999999999962E-2</v>
      </c>
      <c r="G20" s="67" t="s">
        <v>93</v>
      </c>
    </row>
    <row r="21" spans="1:7" ht="15.4">
      <c r="A21" s="77" t="s">
        <v>11</v>
      </c>
      <c r="B21" s="77" t="s">
        <v>87</v>
      </c>
      <c r="C21" s="68">
        <v>46128</v>
      </c>
      <c r="D21" s="70">
        <v>10.52</v>
      </c>
      <c r="E21" s="70">
        <v>10.75</v>
      </c>
      <c r="F21" s="58">
        <f t="shared" si="0"/>
        <v>2.1863117870722475E-2</v>
      </c>
      <c r="G21" s="67"/>
    </row>
    <row r="22" spans="1:7" ht="15.9" thickBot="1">
      <c r="C22" s="40"/>
      <c r="D22" s="41"/>
      <c r="E22" s="41"/>
      <c r="F22" s="46"/>
      <c r="G22" s="47"/>
    </row>
    <row r="23" spans="1:7" ht="14.9" thickBot="1">
      <c r="C23" s="59"/>
      <c r="D23" s="60"/>
      <c r="E23" s="61"/>
    </row>
    <row r="24" spans="1:7" ht="14.9" thickBot="1">
      <c r="C24" s="62" t="s">
        <v>140</v>
      </c>
      <c r="D24" s="63" t="s">
        <v>141</v>
      </c>
      <c r="E24" s="63" t="s">
        <v>142</v>
      </c>
      <c r="F24" s="86" t="s">
        <v>94</v>
      </c>
      <c r="G24" s="87"/>
    </row>
    <row r="25" spans="1:7" ht="15.4">
      <c r="C25" s="69">
        <v>10.94</v>
      </c>
      <c r="D25" s="69">
        <v>10.75</v>
      </c>
      <c r="E25" s="58">
        <f>IF(OR(C25=0,NOT(ISNUMBER(C25)),NOT(ISNUMBER(D25))),"",(D25 - C25) / C25)</f>
        <v>-1.7367458866544744E-2</v>
      </c>
    </row>
  </sheetData>
  <mergeCells count="1">
    <mergeCell ref="F24:G24"/>
  </mergeCells>
  <conditionalFormatting sqref="F2:F21">
    <cfRule type="cellIs" dxfId="73" priority="3" operator="lessThan">
      <formula>0</formula>
    </cfRule>
    <cfRule type="cellIs" dxfId="72" priority="4" operator="greaterThan">
      <formula>0</formula>
    </cfRule>
  </conditionalFormatting>
  <conditionalFormatting sqref="E25">
    <cfRule type="cellIs" dxfId="71" priority="1" operator="lessThan">
      <formula>0</formula>
    </cfRule>
    <cfRule type="cellIs" dxfId="70" priority="2" operator="greater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" sqref="A2:F21"/>
    </sheetView>
  </sheetViews>
  <sheetFormatPr defaultColWidth="8.9140625" defaultRowHeight="13.9"/>
  <cols>
    <col min="1" max="1" width="13.9140625" style="37" customWidth="1"/>
    <col min="2" max="2" width="18.33203125" style="37" customWidth="1"/>
    <col min="3" max="3" width="18.9140625" style="37" customWidth="1"/>
    <col min="4" max="4" width="15.08203125" style="37" customWidth="1"/>
    <col min="5" max="5" width="12.6640625" style="37" customWidth="1"/>
    <col min="6" max="6" width="15.9140625" style="37" customWidth="1"/>
    <col min="7" max="7" width="38.33203125" style="37" customWidth="1"/>
    <col min="8" max="16384" width="8.9140625" style="37"/>
  </cols>
  <sheetData>
    <row r="1" spans="1:7" ht="14.4" thickBot="1">
      <c r="A1" s="49" t="s">
        <v>47</v>
      </c>
      <c r="B1" s="49" t="s">
        <v>48</v>
      </c>
      <c r="C1" s="49" t="s">
        <v>49</v>
      </c>
      <c r="D1" s="52" t="s">
        <v>50</v>
      </c>
      <c r="E1" s="52" t="s">
        <v>51</v>
      </c>
      <c r="F1" s="52" t="s">
        <v>52</v>
      </c>
      <c r="G1" s="52" t="s">
        <v>53</v>
      </c>
    </row>
    <row r="2" spans="1:7" ht="15.4">
      <c r="A2" s="77" t="s">
        <v>13</v>
      </c>
      <c r="B2" s="77" t="s">
        <v>95</v>
      </c>
      <c r="C2" s="73">
        <v>46098</v>
      </c>
      <c r="D2" s="70">
        <v>12.93</v>
      </c>
      <c r="E2" s="70">
        <v>13.29</v>
      </c>
      <c r="F2" s="58">
        <f>IF(OR(D2=0,NOT(ISNUMBER(D2)),NOT(ISNUMBER(E2))),"",(E2 - D2) / D2)</f>
        <v>2.7842227378190212E-2</v>
      </c>
      <c r="G2" s="67"/>
    </row>
    <row r="3" spans="1:7" ht="15.4">
      <c r="A3" s="77" t="s">
        <v>13</v>
      </c>
      <c r="B3" s="77" t="s">
        <v>95</v>
      </c>
      <c r="C3" s="73">
        <v>46099</v>
      </c>
      <c r="D3" s="70">
        <v>13.37</v>
      </c>
      <c r="E3" s="70">
        <v>12.79</v>
      </c>
      <c r="F3" s="58">
        <f t="shared" ref="F3:F21" si="0">IF(OR(D3=0,NOT(ISNUMBER(D3)),NOT(ISNUMBER(E3))),"",(E3 - D3) / D3)</f>
        <v>-4.3380703066566946E-2</v>
      </c>
      <c r="G3" s="67" t="s">
        <v>96</v>
      </c>
    </row>
    <row r="4" spans="1:7" ht="15.4">
      <c r="A4" s="77" t="s">
        <v>13</v>
      </c>
      <c r="B4" s="77" t="s">
        <v>95</v>
      </c>
      <c r="C4" s="73">
        <v>46100</v>
      </c>
      <c r="D4" s="70">
        <v>12.52</v>
      </c>
      <c r="E4" s="70">
        <v>13.08</v>
      </c>
      <c r="F4" s="58">
        <f t="shared" si="0"/>
        <v>4.4728434504792372E-2</v>
      </c>
      <c r="G4" s="67"/>
    </row>
    <row r="5" spans="1:7" ht="15.4">
      <c r="A5" s="77" t="s">
        <v>13</v>
      </c>
      <c r="B5" s="77" t="s">
        <v>95</v>
      </c>
      <c r="C5" s="73">
        <v>46101</v>
      </c>
      <c r="D5" s="70">
        <v>13.05</v>
      </c>
      <c r="E5" s="70">
        <v>12.22</v>
      </c>
      <c r="F5" s="58">
        <f t="shared" si="0"/>
        <v>-6.3601532567049812E-2</v>
      </c>
      <c r="G5" s="67" t="s">
        <v>97</v>
      </c>
    </row>
    <row r="6" spans="1:7" ht="15.4">
      <c r="A6" s="77" t="s">
        <v>13</v>
      </c>
      <c r="B6" s="77" t="s">
        <v>95</v>
      </c>
      <c r="C6" s="73">
        <v>46105</v>
      </c>
      <c r="D6" s="70">
        <v>12.42</v>
      </c>
      <c r="E6" s="70">
        <v>12.75</v>
      </c>
      <c r="F6" s="58">
        <f t="shared" si="0"/>
        <v>2.6570048309178751E-2</v>
      </c>
      <c r="G6" s="67"/>
    </row>
    <row r="7" spans="1:7" ht="15.4">
      <c r="A7" s="77" t="s">
        <v>13</v>
      </c>
      <c r="B7" s="77" t="s">
        <v>95</v>
      </c>
      <c r="C7" s="73">
        <v>46106</v>
      </c>
      <c r="D7" s="70">
        <v>12.95</v>
      </c>
      <c r="E7" s="70">
        <v>13.04</v>
      </c>
      <c r="F7" s="58">
        <f t="shared" si="0"/>
        <v>6.949806949806939E-3</v>
      </c>
      <c r="G7" s="67"/>
    </row>
    <row r="8" spans="1:7" ht="15.4">
      <c r="A8" s="77" t="s">
        <v>13</v>
      </c>
      <c r="B8" s="77" t="s">
        <v>95</v>
      </c>
      <c r="C8" s="73">
        <v>46107</v>
      </c>
      <c r="D8" s="70">
        <v>12.74</v>
      </c>
      <c r="E8" s="70">
        <v>12.4</v>
      </c>
      <c r="F8" s="58">
        <f t="shared" si="0"/>
        <v>-2.6687598116169532E-2</v>
      </c>
      <c r="G8" s="67"/>
    </row>
    <row r="9" spans="1:7" ht="15.4">
      <c r="A9" s="77" t="s">
        <v>13</v>
      </c>
      <c r="B9" s="77" t="s">
        <v>95</v>
      </c>
      <c r="C9" s="73">
        <v>46108</v>
      </c>
      <c r="D9" s="70">
        <v>12.19</v>
      </c>
      <c r="E9" s="70">
        <v>12.6</v>
      </c>
      <c r="F9" s="58">
        <f t="shared" si="0"/>
        <v>3.3634126333059899E-2</v>
      </c>
      <c r="G9" s="67"/>
    </row>
    <row r="10" spans="1:7" ht="15.4">
      <c r="A10" s="77" t="s">
        <v>13</v>
      </c>
      <c r="B10" s="77" t="s">
        <v>95</v>
      </c>
      <c r="C10" s="73">
        <v>46112</v>
      </c>
      <c r="D10" s="70">
        <v>12.89</v>
      </c>
      <c r="E10" s="70">
        <v>12.14</v>
      </c>
      <c r="F10" s="58">
        <f t="shared" si="0"/>
        <v>-5.8184639255236613E-2</v>
      </c>
      <c r="G10" s="67"/>
    </row>
    <row r="11" spans="1:7" ht="15.4">
      <c r="A11" s="77" t="s">
        <v>13</v>
      </c>
      <c r="B11" s="77" t="s">
        <v>95</v>
      </c>
      <c r="C11" s="73">
        <v>46113</v>
      </c>
      <c r="D11" s="70">
        <v>12.53</v>
      </c>
      <c r="E11" s="70">
        <v>13.56</v>
      </c>
      <c r="F11" s="58">
        <f t="shared" si="0"/>
        <v>8.220271348762978E-2</v>
      </c>
      <c r="G11" s="67" t="s">
        <v>62</v>
      </c>
    </row>
    <row r="12" spans="1:7" ht="15.4">
      <c r="A12" s="77" t="s">
        <v>13</v>
      </c>
      <c r="B12" s="77" t="s">
        <v>95</v>
      </c>
      <c r="C12" s="73">
        <v>46114</v>
      </c>
      <c r="D12" s="70">
        <v>13.8</v>
      </c>
      <c r="E12" s="70">
        <v>14.15</v>
      </c>
      <c r="F12" s="58">
        <f t="shared" si="0"/>
        <v>2.5362318840579684E-2</v>
      </c>
      <c r="G12" s="67" t="s">
        <v>98</v>
      </c>
    </row>
    <row r="13" spans="1:7" ht="15.4">
      <c r="A13" s="77" t="s">
        <v>13</v>
      </c>
      <c r="B13" s="77" t="s">
        <v>95</v>
      </c>
      <c r="C13" s="73">
        <v>46115</v>
      </c>
      <c r="D13" s="70">
        <v>13.63</v>
      </c>
      <c r="E13" s="70">
        <v>13.5</v>
      </c>
      <c r="F13" s="58">
        <f t="shared" si="0"/>
        <v>-9.537784299339748E-3</v>
      </c>
      <c r="G13" s="67"/>
    </row>
    <row r="14" spans="1:7" ht="15.4">
      <c r="A14" s="77" t="s">
        <v>13</v>
      </c>
      <c r="B14" s="77" t="s">
        <v>95</v>
      </c>
      <c r="C14" s="73">
        <v>46119</v>
      </c>
      <c r="D14" s="70">
        <v>13.42</v>
      </c>
      <c r="E14" s="70">
        <v>13.23</v>
      </c>
      <c r="F14" s="58">
        <f t="shared" si="0"/>
        <v>-1.4157973174366579E-2</v>
      </c>
      <c r="G14" s="67"/>
    </row>
    <row r="15" spans="1:7" ht="15.4">
      <c r="A15" s="77" t="s">
        <v>13</v>
      </c>
      <c r="B15" s="77" t="s">
        <v>95</v>
      </c>
      <c r="C15" s="73">
        <v>46120</v>
      </c>
      <c r="D15" s="70">
        <v>13.05</v>
      </c>
      <c r="E15" s="70">
        <v>13.22</v>
      </c>
      <c r="F15" s="58">
        <f t="shared" si="0"/>
        <v>1.3026819923371642E-2</v>
      </c>
      <c r="G15" s="67"/>
    </row>
    <row r="16" spans="1:7" ht="15.4">
      <c r="A16" s="77" t="s">
        <v>13</v>
      </c>
      <c r="B16" s="77" t="s">
        <v>95</v>
      </c>
      <c r="C16" s="73">
        <v>46121</v>
      </c>
      <c r="D16" s="70">
        <v>14.34</v>
      </c>
      <c r="E16" s="70">
        <v>13.87</v>
      </c>
      <c r="F16" s="58">
        <f t="shared" si="0"/>
        <v>-3.2775453277545372E-2</v>
      </c>
      <c r="G16" s="67" t="s">
        <v>99</v>
      </c>
    </row>
    <row r="17" spans="1:7" ht="15.4">
      <c r="A17" s="77" t="s">
        <v>13</v>
      </c>
      <c r="B17" s="77" t="s">
        <v>95</v>
      </c>
      <c r="C17" s="73">
        <v>46122</v>
      </c>
      <c r="D17" s="70">
        <v>13.7</v>
      </c>
      <c r="E17" s="70">
        <v>13.33</v>
      </c>
      <c r="F17" s="58">
        <f t="shared" si="0"/>
        <v>-2.7007299270072938E-2</v>
      </c>
      <c r="G17" s="67"/>
    </row>
    <row r="18" spans="1:7" ht="15.4">
      <c r="A18" s="77" t="s">
        <v>13</v>
      </c>
      <c r="B18" s="77" t="s">
        <v>95</v>
      </c>
      <c r="C18" s="73">
        <v>46123</v>
      </c>
      <c r="D18" s="70">
        <v>13.4</v>
      </c>
      <c r="E18" s="70">
        <v>13.28</v>
      </c>
      <c r="F18" s="58">
        <f t="shared" si="0"/>
        <v>-8.9552238805970883E-3</v>
      </c>
      <c r="G18" s="67"/>
    </row>
    <row r="19" spans="1:7" ht="15.4">
      <c r="A19" s="77" t="s">
        <v>13</v>
      </c>
      <c r="B19" s="77" t="s">
        <v>95</v>
      </c>
      <c r="C19" s="73">
        <v>46126</v>
      </c>
      <c r="D19" s="70">
        <v>13.09</v>
      </c>
      <c r="E19" s="70">
        <v>12.76</v>
      </c>
      <c r="F19" s="58">
        <f t="shared" si="0"/>
        <v>-2.5210084033613449E-2</v>
      </c>
      <c r="G19" s="67"/>
    </row>
    <row r="20" spans="1:7" ht="15.4">
      <c r="A20" s="77" t="s">
        <v>13</v>
      </c>
      <c r="B20" s="77" t="s">
        <v>95</v>
      </c>
      <c r="C20" s="73">
        <v>46127</v>
      </c>
      <c r="D20" s="70">
        <v>13.05</v>
      </c>
      <c r="E20" s="70">
        <v>12.45</v>
      </c>
      <c r="F20" s="58">
        <f t="shared" si="0"/>
        <v>-4.5977011494252977E-2</v>
      </c>
      <c r="G20" s="67"/>
    </row>
    <row r="21" spans="1:7" ht="15.4">
      <c r="A21" s="77" t="s">
        <v>13</v>
      </c>
      <c r="B21" s="77" t="s">
        <v>95</v>
      </c>
      <c r="C21" s="73">
        <v>46128</v>
      </c>
      <c r="D21" s="70">
        <v>12.59</v>
      </c>
      <c r="E21" s="70">
        <v>12.1</v>
      </c>
      <c r="F21" s="58">
        <f t="shared" si="0"/>
        <v>-3.8919777601270869E-2</v>
      </c>
      <c r="G21" s="67" t="s">
        <v>100</v>
      </c>
    </row>
    <row r="22" spans="1:7" ht="14.4" thickBot="1">
      <c r="C22" s="40"/>
      <c r="D22" s="41"/>
      <c r="E22" s="41"/>
      <c r="F22" s="42"/>
      <c r="G22" s="48"/>
    </row>
    <row r="23" spans="1:7" ht="14.9" thickBot="1">
      <c r="C23" s="59"/>
      <c r="D23" s="60"/>
      <c r="E23" s="61"/>
    </row>
    <row r="24" spans="1:7" ht="14.9" thickBot="1">
      <c r="C24" s="62" t="s">
        <v>140</v>
      </c>
      <c r="D24" s="63" t="s">
        <v>141</v>
      </c>
      <c r="E24" s="63" t="s">
        <v>142</v>
      </c>
      <c r="F24" s="86" t="s">
        <v>101</v>
      </c>
      <c r="G24" s="87"/>
    </row>
    <row r="25" spans="1:7" ht="15.4">
      <c r="C25" s="69">
        <v>12.93</v>
      </c>
      <c r="D25" s="69">
        <v>12.1</v>
      </c>
      <c r="E25" s="58">
        <f>IF(OR(C25=0,NOT(ISNUMBER(C25)),NOT(ISNUMBER(D25))),"",(D25 - C25) / C25)</f>
        <v>-6.4191802010827539E-2</v>
      </c>
    </row>
  </sheetData>
  <mergeCells count="1">
    <mergeCell ref="F24:G24"/>
  </mergeCells>
  <conditionalFormatting sqref="F2:F21">
    <cfRule type="cellIs" dxfId="69" priority="3" operator="lessThan">
      <formula>0</formula>
    </cfRule>
    <cfRule type="cellIs" dxfId="68" priority="4" operator="greaterThan">
      <formula>0</formula>
    </cfRule>
  </conditionalFormatting>
  <conditionalFormatting sqref="E25">
    <cfRule type="cellIs" dxfId="67" priority="1" operator="lessThan">
      <formula>0</formula>
    </cfRule>
    <cfRule type="cellIs" dxfId="66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" sqref="A2:F21"/>
    </sheetView>
  </sheetViews>
  <sheetFormatPr defaultColWidth="8.9140625" defaultRowHeight="13.9"/>
  <cols>
    <col min="1" max="1" width="18.25" style="37" customWidth="1"/>
    <col min="2" max="2" width="27.25" style="37" customWidth="1"/>
    <col min="3" max="3" width="14.75" style="37" customWidth="1"/>
    <col min="4" max="4" width="13.33203125" style="37" customWidth="1"/>
    <col min="5" max="5" width="15.25" style="37" customWidth="1"/>
    <col min="6" max="6" width="16.4140625" style="37" customWidth="1"/>
    <col min="7" max="7" width="39.4140625" style="37" customWidth="1"/>
    <col min="8" max="16384" width="8.9140625" style="37"/>
  </cols>
  <sheetData>
    <row r="1" spans="1:7" ht="14.4" thickBot="1">
      <c r="A1" s="49" t="s">
        <v>47</v>
      </c>
      <c r="B1" s="49" t="s">
        <v>48</v>
      </c>
      <c r="C1" s="49" t="s">
        <v>49</v>
      </c>
      <c r="D1" s="52" t="s">
        <v>50</v>
      </c>
      <c r="E1" s="52" t="s">
        <v>51</v>
      </c>
      <c r="F1" s="52" t="s">
        <v>52</v>
      </c>
      <c r="G1" s="52" t="s">
        <v>53</v>
      </c>
    </row>
    <row r="2" spans="1:7" ht="15.4">
      <c r="A2" s="77" t="s">
        <v>15</v>
      </c>
      <c r="B2" s="78" t="s">
        <v>102</v>
      </c>
      <c r="C2" s="68">
        <v>46098</v>
      </c>
      <c r="D2" s="70">
        <v>2.56</v>
      </c>
      <c r="E2" s="70">
        <v>2.68</v>
      </c>
      <c r="F2" s="58">
        <f>IF(OR(D2=0,NOT(ISNUMBER(D2)),NOT(ISNUMBER(E2))),"",(E2 - D2) / D2)</f>
        <v>4.6875000000000042E-2</v>
      </c>
      <c r="G2" s="67" t="s">
        <v>103</v>
      </c>
    </row>
    <row r="3" spans="1:7" ht="15.4">
      <c r="A3" s="77" t="s">
        <v>15</v>
      </c>
      <c r="B3" s="78" t="s">
        <v>102</v>
      </c>
      <c r="C3" s="68">
        <v>46099</v>
      </c>
      <c r="D3" s="70">
        <v>2.64</v>
      </c>
      <c r="E3" s="70">
        <v>2.61</v>
      </c>
      <c r="F3" s="58">
        <f t="shared" ref="F3:F21" si="0">IF(OR(D3=0,NOT(ISNUMBER(D3)),NOT(ISNUMBER(E3))),"",(E3 - D3) / D3)</f>
        <v>-1.1363636363636458E-2</v>
      </c>
      <c r="G3" s="67"/>
    </row>
    <row r="4" spans="1:7" ht="15.4">
      <c r="A4" s="77" t="s">
        <v>15</v>
      </c>
      <c r="B4" s="78" t="s">
        <v>102</v>
      </c>
      <c r="C4" s="68">
        <v>46100</v>
      </c>
      <c r="D4" s="70">
        <v>2.5099999999999998</v>
      </c>
      <c r="E4" s="70">
        <v>2.48</v>
      </c>
      <c r="F4" s="58">
        <f t="shared" si="0"/>
        <v>-1.1952191235059684E-2</v>
      </c>
      <c r="G4" s="67"/>
    </row>
    <row r="5" spans="1:7" ht="15.4">
      <c r="A5" s="77" t="s">
        <v>15</v>
      </c>
      <c r="B5" s="78" t="s">
        <v>102</v>
      </c>
      <c r="C5" s="68">
        <v>46101</v>
      </c>
      <c r="D5" s="70">
        <v>2.4700000000000002</v>
      </c>
      <c r="E5" s="70">
        <v>2.41</v>
      </c>
      <c r="F5" s="58">
        <f t="shared" si="0"/>
        <v>-2.4291497975708523E-2</v>
      </c>
      <c r="G5" s="67"/>
    </row>
    <row r="6" spans="1:7" ht="15.4">
      <c r="A6" s="77" t="s">
        <v>15</v>
      </c>
      <c r="B6" s="78" t="s">
        <v>102</v>
      </c>
      <c r="C6" s="68">
        <v>46105</v>
      </c>
      <c r="D6" s="70">
        <v>2.4700000000000002</v>
      </c>
      <c r="E6" s="70">
        <v>2.46</v>
      </c>
      <c r="F6" s="58">
        <f t="shared" si="0"/>
        <v>-4.0485829959515099E-3</v>
      </c>
      <c r="G6" s="67"/>
    </row>
    <row r="7" spans="1:7" ht="15.4">
      <c r="A7" s="77" t="s">
        <v>15</v>
      </c>
      <c r="B7" s="78" t="s">
        <v>102</v>
      </c>
      <c r="C7" s="68">
        <v>46106</v>
      </c>
      <c r="D7" s="70">
        <v>2.5</v>
      </c>
      <c r="E7" s="70">
        <v>2.54</v>
      </c>
      <c r="F7" s="58">
        <f t="shared" si="0"/>
        <v>1.6000000000000014E-2</v>
      </c>
      <c r="G7" s="67"/>
    </row>
    <row r="8" spans="1:7" ht="15.4">
      <c r="A8" s="77" t="s">
        <v>15</v>
      </c>
      <c r="B8" s="78" t="s">
        <v>102</v>
      </c>
      <c r="C8" s="68">
        <v>46107</v>
      </c>
      <c r="D8" s="70">
        <v>2.4900000000000002</v>
      </c>
      <c r="E8" s="70">
        <v>2.4500000000000002</v>
      </c>
      <c r="F8" s="58">
        <f t="shared" si="0"/>
        <v>-1.6064257028112462E-2</v>
      </c>
      <c r="G8" s="67"/>
    </row>
    <row r="9" spans="1:7" ht="15.4">
      <c r="A9" s="77" t="s">
        <v>15</v>
      </c>
      <c r="B9" s="78" t="s">
        <v>102</v>
      </c>
      <c r="C9" s="68">
        <v>46108</v>
      </c>
      <c r="D9" s="70">
        <v>2.41</v>
      </c>
      <c r="E9" s="70">
        <v>2.39</v>
      </c>
      <c r="F9" s="58">
        <f t="shared" si="0"/>
        <v>-8.2987551867219986E-3</v>
      </c>
      <c r="G9" s="67"/>
    </row>
    <row r="10" spans="1:7" ht="15.4">
      <c r="A10" s="77" t="s">
        <v>15</v>
      </c>
      <c r="B10" s="78" t="s">
        <v>102</v>
      </c>
      <c r="C10" s="68">
        <v>46112</v>
      </c>
      <c r="D10" s="70">
        <v>2.42</v>
      </c>
      <c r="E10" s="70">
        <v>2.2999999999999998</v>
      </c>
      <c r="F10" s="58">
        <f t="shared" si="0"/>
        <v>-4.9586776859504175E-2</v>
      </c>
      <c r="G10" s="67" t="s">
        <v>73</v>
      </c>
    </row>
    <row r="11" spans="1:7" ht="15.4">
      <c r="A11" s="77" t="s">
        <v>15</v>
      </c>
      <c r="B11" s="78" t="s">
        <v>102</v>
      </c>
      <c r="C11" s="68">
        <v>46113</v>
      </c>
      <c r="D11" s="70">
        <v>2.3199999999999998</v>
      </c>
      <c r="E11" s="70">
        <v>2.42</v>
      </c>
      <c r="F11" s="58">
        <f t="shared" si="0"/>
        <v>4.3103448275862113E-2</v>
      </c>
      <c r="G11" s="67" t="s">
        <v>70</v>
      </c>
    </row>
    <row r="12" spans="1:7" ht="15.4">
      <c r="A12" s="77" t="s">
        <v>15</v>
      </c>
      <c r="B12" s="78" t="s">
        <v>102</v>
      </c>
      <c r="C12" s="68">
        <v>46114</v>
      </c>
      <c r="D12" s="70">
        <v>2.44</v>
      </c>
      <c r="E12" s="70">
        <v>2.41</v>
      </c>
      <c r="F12" s="58">
        <f t="shared" si="0"/>
        <v>-1.2295081967213035E-2</v>
      </c>
      <c r="G12" s="67"/>
    </row>
    <row r="13" spans="1:7" ht="15.4">
      <c r="A13" s="77" t="s">
        <v>15</v>
      </c>
      <c r="B13" s="78" t="s">
        <v>102</v>
      </c>
      <c r="C13" s="68">
        <v>46115</v>
      </c>
      <c r="D13" s="70">
        <v>2.35</v>
      </c>
      <c r="E13" s="70">
        <v>2.48</v>
      </c>
      <c r="F13" s="58">
        <f t="shared" si="0"/>
        <v>5.5319148936170168E-2</v>
      </c>
      <c r="G13" s="67"/>
    </row>
    <row r="14" spans="1:7" ht="15.4">
      <c r="A14" s="77" t="s">
        <v>15</v>
      </c>
      <c r="B14" s="78" t="s">
        <v>102</v>
      </c>
      <c r="C14" s="68">
        <v>46119</v>
      </c>
      <c r="D14" s="70">
        <v>2.5</v>
      </c>
      <c r="E14" s="70">
        <v>2.5299999999999998</v>
      </c>
      <c r="F14" s="58">
        <f t="shared" si="0"/>
        <v>1.1999999999999922E-2</v>
      </c>
      <c r="G14" s="67"/>
    </row>
    <row r="15" spans="1:7" ht="15.4">
      <c r="A15" s="77" t="s">
        <v>15</v>
      </c>
      <c r="B15" s="78" t="s">
        <v>102</v>
      </c>
      <c r="C15" s="68">
        <v>46120</v>
      </c>
      <c r="D15" s="70">
        <v>2.5099999999999998</v>
      </c>
      <c r="E15" s="70">
        <v>2.4</v>
      </c>
      <c r="F15" s="58">
        <f t="shared" si="0"/>
        <v>-4.3824701195219078E-2</v>
      </c>
      <c r="G15" s="67"/>
    </row>
    <row r="16" spans="1:7" ht="15.4">
      <c r="A16" s="77" t="s">
        <v>15</v>
      </c>
      <c r="B16" s="78" t="s">
        <v>102</v>
      </c>
      <c r="C16" s="68">
        <v>46121</v>
      </c>
      <c r="D16" s="70">
        <v>2.5499999999999998</v>
      </c>
      <c r="E16" s="70">
        <v>2.6</v>
      </c>
      <c r="F16" s="58">
        <f t="shared" si="0"/>
        <v>1.9607843137255009E-2</v>
      </c>
      <c r="G16" s="67" t="s">
        <v>104</v>
      </c>
    </row>
    <row r="17" spans="1:7" ht="15.4">
      <c r="A17" s="77" t="s">
        <v>15</v>
      </c>
      <c r="B17" s="78" t="s">
        <v>102</v>
      </c>
      <c r="C17" s="68">
        <v>46122</v>
      </c>
      <c r="D17" s="70">
        <v>2.58</v>
      </c>
      <c r="E17" s="70">
        <v>2.64</v>
      </c>
      <c r="F17" s="58">
        <f t="shared" si="0"/>
        <v>2.3255813953488393E-2</v>
      </c>
      <c r="G17" s="67"/>
    </row>
    <row r="18" spans="1:7" ht="15.4">
      <c r="A18" s="77" t="s">
        <v>15</v>
      </c>
      <c r="B18" s="78" t="s">
        <v>102</v>
      </c>
      <c r="C18" s="68">
        <v>46123</v>
      </c>
      <c r="D18" s="70">
        <v>2.67</v>
      </c>
      <c r="E18" s="70">
        <v>2.81</v>
      </c>
      <c r="F18" s="58">
        <f t="shared" si="0"/>
        <v>5.2434456928838996E-2</v>
      </c>
      <c r="G18" s="67" t="s">
        <v>105</v>
      </c>
    </row>
    <row r="19" spans="1:7" ht="15.4">
      <c r="A19" s="77" t="s">
        <v>15</v>
      </c>
      <c r="B19" s="78" t="s">
        <v>102</v>
      </c>
      <c r="C19" s="68">
        <v>46126</v>
      </c>
      <c r="D19" s="70">
        <v>2.78</v>
      </c>
      <c r="E19" s="70">
        <v>2.7</v>
      </c>
      <c r="F19" s="58">
        <f t="shared" si="0"/>
        <v>-2.8776978417266053E-2</v>
      </c>
      <c r="G19" s="67" t="s">
        <v>106</v>
      </c>
    </row>
    <row r="20" spans="1:7" ht="15.4">
      <c r="A20" s="77" t="s">
        <v>15</v>
      </c>
      <c r="B20" s="78" t="s">
        <v>102</v>
      </c>
      <c r="C20" s="68">
        <v>46127</v>
      </c>
      <c r="D20" s="70">
        <v>2.81</v>
      </c>
      <c r="E20" s="70">
        <v>2.86</v>
      </c>
      <c r="F20" s="58">
        <f t="shared" si="0"/>
        <v>1.7793594306049758E-2</v>
      </c>
      <c r="G20" s="67" t="s">
        <v>107</v>
      </c>
    </row>
    <row r="21" spans="1:7" ht="15.4">
      <c r="A21" s="77" t="s">
        <v>15</v>
      </c>
      <c r="B21" s="78" t="s">
        <v>102</v>
      </c>
      <c r="C21" s="68">
        <v>46128</v>
      </c>
      <c r="D21" s="70">
        <v>2.98</v>
      </c>
      <c r="E21" s="70">
        <v>3.07</v>
      </c>
      <c r="F21" s="58">
        <f t="shared" si="0"/>
        <v>3.0201342281879148E-2</v>
      </c>
      <c r="G21" s="67" t="s">
        <v>108</v>
      </c>
    </row>
    <row r="22" spans="1:7" ht="15.9" thickBot="1">
      <c r="C22" s="40"/>
      <c r="D22" s="41"/>
      <c r="E22" s="41"/>
      <c r="F22" s="55"/>
      <c r="G22" s="43"/>
    </row>
    <row r="23" spans="1:7" ht="14.9" thickBot="1">
      <c r="C23" s="59"/>
      <c r="D23" s="60"/>
      <c r="E23" s="57"/>
    </row>
    <row r="24" spans="1:7" ht="14.9" thickBot="1">
      <c r="C24" s="62" t="s">
        <v>140</v>
      </c>
      <c r="D24" s="63" t="s">
        <v>141</v>
      </c>
      <c r="E24" s="63" t="s">
        <v>142</v>
      </c>
      <c r="F24" s="86" t="s">
        <v>109</v>
      </c>
      <c r="G24" s="87"/>
    </row>
    <row r="25" spans="1:7" ht="15.4">
      <c r="C25" s="69">
        <v>2.56</v>
      </c>
      <c r="D25" s="69">
        <v>3.07</v>
      </c>
      <c r="E25" s="58">
        <f>IF(OR(C25=0,NOT(ISNUMBER(C25)),NOT(ISNUMBER(D25))),"",(D25 - C25) / C25)</f>
        <v>0.19921874999999992</v>
      </c>
    </row>
  </sheetData>
  <mergeCells count="1">
    <mergeCell ref="F24:G24"/>
  </mergeCells>
  <conditionalFormatting sqref="F22">
    <cfRule type="cellIs" dxfId="65" priority="7" operator="lessThan">
      <formula>0</formula>
    </cfRule>
  </conditionalFormatting>
  <conditionalFormatting sqref="F22">
    <cfRule type="cellIs" dxfId="64" priority="6" operator="greaterThan">
      <formula>0</formula>
    </cfRule>
  </conditionalFormatting>
  <conditionalFormatting sqref="F22">
    <cfRule type="cellIs" dxfId="63" priority="5" operator="greaterThan">
      <formula>0</formula>
    </cfRule>
  </conditionalFormatting>
  <conditionalFormatting sqref="F2:F21">
    <cfRule type="cellIs" dxfId="62" priority="3" operator="lessThan">
      <formula>0</formula>
    </cfRule>
    <cfRule type="cellIs" dxfId="61" priority="4" operator="greaterThan">
      <formula>0</formula>
    </cfRule>
  </conditionalFormatting>
  <conditionalFormatting sqref="E25">
    <cfRule type="cellIs" dxfId="60" priority="1" operator="lessThan">
      <formula>0</formula>
    </cfRule>
    <cfRule type="cellIs" dxfId="59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" sqref="A2:F21"/>
    </sheetView>
  </sheetViews>
  <sheetFormatPr defaultColWidth="8.9140625" defaultRowHeight="13.9"/>
  <cols>
    <col min="1" max="1" width="17.33203125" style="37" customWidth="1"/>
    <col min="2" max="2" width="12" style="37" customWidth="1"/>
    <col min="3" max="3" width="13" style="37" customWidth="1"/>
    <col min="4" max="4" width="14.6640625" style="37" customWidth="1"/>
    <col min="5" max="5" width="11.75" style="37" customWidth="1"/>
    <col min="6" max="6" width="12.33203125" style="37" customWidth="1"/>
    <col min="7" max="7" width="29.75" style="37" customWidth="1"/>
    <col min="8" max="16384" width="8.9140625" style="37"/>
  </cols>
  <sheetData>
    <row r="1" spans="1:7" ht="14.4" thickBot="1">
      <c r="A1" s="49" t="s">
        <v>47</v>
      </c>
      <c r="B1" s="49" t="s">
        <v>48</v>
      </c>
      <c r="C1" s="49" t="s">
        <v>49</v>
      </c>
      <c r="D1" s="52" t="s">
        <v>50</v>
      </c>
      <c r="E1" s="52" t="s">
        <v>51</v>
      </c>
      <c r="F1" s="52" t="s">
        <v>52</v>
      </c>
      <c r="G1" s="52" t="s">
        <v>53</v>
      </c>
    </row>
    <row r="2" spans="1:7" ht="15.4">
      <c r="A2" s="77" t="s">
        <v>17</v>
      </c>
      <c r="B2" s="77" t="s">
        <v>110</v>
      </c>
      <c r="C2" s="68">
        <v>46098</v>
      </c>
      <c r="D2" s="70">
        <v>2.11</v>
      </c>
      <c r="E2" s="70">
        <v>2.06</v>
      </c>
      <c r="F2" s="58">
        <f>IF(OR(D2=0,NOT(ISNUMBER(D2)),NOT(ISNUMBER(E2))),"",(E2 - D2) / D2)</f>
        <v>-2.3696682464454895E-2</v>
      </c>
      <c r="G2" s="67"/>
    </row>
    <row r="3" spans="1:7" ht="15.4">
      <c r="A3" s="77" t="s">
        <v>17</v>
      </c>
      <c r="B3" s="77" t="s">
        <v>110</v>
      </c>
      <c r="C3" s="68">
        <v>46099</v>
      </c>
      <c r="D3" s="70">
        <v>2.0499999999999998</v>
      </c>
      <c r="E3" s="70">
        <v>1.93</v>
      </c>
      <c r="F3" s="58">
        <f t="shared" ref="F3:F21" si="0">IF(OR(D3=0,NOT(ISNUMBER(D3)),NOT(ISNUMBER(E3))),"",(E3 - D3) / D3)</f>
        <v>-5.8536585365853606E-2</v>
      </c>
      <c r="G3" s="67" t="s">
        <v>111</v>
      </c>
    </row>
    <row r="4" spans="1:7" ht="15.4">
      <c r="A4" s="77" t="s">
        <v>17</v>
      </c>
      <c r="B4" s="77" t="s">
        <v>110</v>
      </c>
      <c r="C4" s="68">
        <v>46100</v>
      </c>
      <c r="D4" s="70">
        <v>1.9</v>
      </c>
      <c r="E4" s="70">
        <v>2.0499999999999998</v>
      </c>
      <c r="F4" s="58">
        <f t="shared" si="0"/>
        <v>7.8947368421052586E-2</v>
      </c>
      <c r="G4" s="67" t="s">
        <v>70</v>
      </c>
    </row>
    <row r="5" spans="1:7" ht="15.4">
      <c r="A5" s="77" t="s">
        <v>17</v>
      </c>
      <c r="B5" s="77" t="s">
        <v>110</v>
      </c>
      <c r="C5" s="68">
        <v>46101</v>
      </c>
      <c r="D5" s="70">
        <v>2.0499999999999998</v>
      </c>
      <c r="E5" s="70">
        <v>1.94</v>
      </c>
      <c r="F5" s="58">
        <f t="shared" si="0"/>
        <v>-5.3658536585365797E-2</v>
      </c>
      <c r="G5" s="67"/>
    </row>
    <row r="6" spans="1:7" ht="15.4">
      <c r="A6" s="77" t="s">
        <v>17</v>
      </c>
      <c r="B6" s="77" t="s">
        <v>110</v>
      </c>
      <c r="C6" s="68">
        <v>46105</v>
      </c>
      <c r="D6" s="70">
        <v>1.93</v>
      </c>
      <c r="E6" s="70">
        <v>1.87</v>
      </c>
      <c r="F6" s="58">
        <f t="shared" si="0"/>
        <v>-3.1088082901554317E-2</v>
      </c>
      <c r="G6" s="67"/>
    </row>
    <row r="7" spans="1:7" ht="15.4">
      <c r="A7" s="77" t="s">
        <v>17</v>
      </c>
      <c r="B7" s="77" t="s">
        <v>110</v>
      </c>
      <c r="C7" s="68">
        <v>46106</v>
      </c>
      <c r="D7" s="70">
        <v>1.85</v>
      </c>
      <c r="E7" s="70">
        <v>1.81</v>
      </c>
      <c r="F7" s="58">
        <f t="shared" si="0"/>
        <v>-2.162162162162164E-2</v>
      </c>
      <c r="G7" s="67"/>
    </row>
    <row r="8" spans="1:7" ht="15.4">
      <c r="A8" s="77" t="s">
        <v>17</v>
      </c>
      <c r="B8" s="77" t="s">
        <v>110</v>
      </c>
      <c r="C8" s="68">
        <v>46107</v>
      </c>
      <c r="D8" s="70">
        <v>1.77</v>
      </c>
      <c r="E8" s="70">
        <v>1.75</v>
      </c>
      <c r="F8" s="58">
        <f t="shared" si="0"/>
        <v>-1.1299435028248598E-2</v>
      </c>
      <c r="G8" s="67"/>
    </row>
    <row r="9" spans="1:7" ht="15.4">
      <c r="A9" s="77" t="s">
        <v>17</v>
      </c>
      <c r="B9" s="77" t="s">
        <v>110</v>
      </c>
      <c r="C9" s="68">
        <v>46108</v>
      </c>
      <c r="D9" s="70">
        <v>1.72</v>
      </c>
      <c r="E9" s="70">
        <v>1.72</v>
      </c>
      <c r="F9" s="58">
        <f t="shared" si="0"/>
        <v>0</v>
      </c>
      <c r="G9" s="67"/>
    </row>
    <row r="10" spans="1:7" ht="15.4">
      <c r="A10" s="77" t="s">
        <v>17</v>
      </c>
      <c r="B10" s="77" t="s">
        <v>110</v>
      </c>
      <c r="C10" s="68">
        <v>46112</v>
      </c>
      <c r="D10" s="70">
        <v>1.73</v>
      </c>
      <c r="E10" s="70">
        <v>1.66</v>
      </c>
      <c r="F10" s="58">
        <f t="shared" si="0"/>
        <v>-4.0462427745664775E-2</v>
      </c>
      <c r="G10" s="67" t="s">
        <v>61</v>
      </c>
    </row>
    <row r="11" spans="1:7" ht="15.4">
      <c r="A11" s="77" t="s">
        <v>17</v>
      </c>
      <c r="B11" s="77" t="s">
        <v>110</v>
      </c>
      <c r="C11" s="68">
        <v>46113</v>
      </c>
      <c r="D11" s="70">
        <v>1.67</v>
      </c>
      <c r="E11" s="70">
        <v>1.72</v>
      </c>
      <c r="F11" s="58">
        <f t="shared" si="0"/>
        <v>2.994011976047907E-2</v>
      </c>
      <c r="G11" s="67" t="s">
        <v>70</v>
      </c>
    </row>
    <row r="12" spans="1:7" ht="15.4">
      <c r="A12" s="77" t="s">
        <v>17</v>
      </c>
      <c r="B12" s="77" t="s">
        <v>110</v>
      </c>
      <c r="C12" s="68">
        <v>46114</v>
      </c>
      <c r="D12" s="70">
        <v>1.75</v>
      </c>
      <c r="E12" s="70">
        <v>1.77</v>
      </c>
      <c r="F12" s="58">
        <f t="shared" si="0"/>
        <v>1.1428571428571439E-2</v>
      </c>
      <c r="G12" s="67"/>
    </row>
    <row r="13" spans="1:7" ht="15.4">
      <c r="A13" s="77" t="s">
        <v>17</v>
      </c>
      <c r="B13" s="77" t="s">
        <v>110</v>
      </c>
      <c r="C13" s="68">
        <v>46115</v>
      </c>
      <c r="D13" s="70">
        <v>1.72</v>
      </c>
      <c r="E13" s="70">
        <v>1.71</v>
      </c>
      <c r="F13" s="58">
        <f t="shared" si="0"/>
        <v>-5.8139534883720981E-3</v>
      </c>
      <c r="G13" s="67"/>
    </row>
    <row r="14" spans="1:7" ht="15.4">
      <c r="A14" s="77" t="s">
        <v>17</v>
      </c>
      <c r="B14" s="77" t="s">
        <v>110</v>
      </c>
      <c r="C14" s="68">
        <v>46119</v>
      </c>
      <c r="D14" s="70">
        <v>1.71</v>
      </c>
      <c r="E14" s="70">
        <v>1.85</v>
      </c>
      <c r="F14" s="58">
        <f t="shared" si="0"/>
        <v>8.1871345029239845E-2</v>
      </c>
      <c r="G14" s="67" t="s">
        <v>112</v>
      </c>
    </row>
    <row r="15" spans="1:7" ht="15.4">
      <c r="A15" s="77" t="s">
        <v>17</v>
      </c>
      <c r="B15" s="77" t="s">
        <v>110</v>
      </c>
      <c r="C15" s="68">
        <v>46120</v>
      </c>
      <c r="D15" s="70">
        <v>1.82</v>
      </c>
      <c r="E15" s="70">
        <v>1.8</v>
      </c>
      <c r="F15" s="58">
        <f t="shared" si="0"/>
        <v>-1.0989010989010999E-2</v>
      </c>
      <c r="G15" s="67"/>
    </row>
    <row r="16" spans="1:7" ht="15.4">
      <c r="A16" s="77" t="s">
        <v>17</v>
      </c>
      <c r="B16" s="77" t="s">
        <v>110</v>
      </c>
      <c r="C16" s="68">
        <v>46121</v>
      </c>
      <c r="D16" s="70">
        <v>1.94</v>
      </c>
      <c r="E16" s="70">
        <v>1.91</v>
      </c>
      <c r="F16" s="58">
        <f t="shared" si="0"/>
        <v>-1.546391752577321E-2</v>
      </c>
      <c r="G16" s="67" t="s">
        <v>99</v>
      </c>
    </row>
    <row r="17" spans="1:7" ht="15.4">
      <c r="A17" s="77" t="s">
        <v>17</v>
      </c>
      <c r="B17" s="77" t="s">
        <v>110</v>
      </c>
      <c r="C17" s="68">
        <v>46122</v>
      </c>
      <c r="D17" s="70">
        <v>1.88</v>
      </c>
      <c r="E17" s="70">
        <v>2</v>
      </c>
      <c r="F17" s="58">
        <f t="shared" si="0"/>
        <v>6.3829787234042618E-2</v>
      </c>
      <c r="G17" s="67" t="s">
        <v>113</v>
      </c>
    </row>
    <row r="18" spans="1:7" ht="15.4">
      <c r="A18" s="77" t="s">
        <v>17</v>
      </c>
      <c r="B18" s="77" t="s">
        <v>110</v>
      </c>
      <c r="C18" s="68">
        <v>46123</v>
      </c>
      <c r="D18" s="70">
        <v>2.0299999999999998</v>
      </c>
      <c r="E18" s="70">
        <v>1.94</v>
      </c>
      <c r="F18" s="58">
        <f t="shared" si="0"/>
        <v>-4.433497536945806E-2</v>
      </c>
      <c r="G18" s="67"/>
    </row>
    <row r="19" spans="1:7" ht="15.4">
      <c r="A19" s="77" t="s">
        <v>17</v>
      </c>
      <c r="B19" s="77" t="s">
        <v>110</v>
      </c>
      <c r="C19" s="68">
        <v>46126</v>
      </c>
      <c r="D19" s="70">
        <v>1.9</v>
      </c>
      <c r="E19" s="70">
        <v>1.93</v>
      </c>
      <c r="F19" s="58">
        <f t="shared" si="0"/>
        <v>1.5789473684210541E-2</v>
      </c>
      <c r="G19" s="67"/>
    </row>
    <row r="20" spans="1:7" ht="15.4">
      <c r="A20" s="77" t="s">
        <v>17</v>
      </c>
      <c r="B20" s="77" t="s">
        <v>110</v>
      </c>
      <c r="C20" s="68">
        <v>46127</v>
      </c>
      <c r="D20" s="70">
        <v>1.98</v>
      </c>
      <c r="E20" s="70">
        <v>2.0499999999999998</v>
      </c>
      <c r="F20" s="58">
        <f t="shared" si="0"/>
        <v>3.5353535353535276E-2</v>
      </c>
      <c r="G20" s="67"/>
    </row>
    <row r="21" spans="1:7" ht="15.4">
      <c r="A21" s="77" t="s">
        <v>17</v>
      </c>
      <c r="B21" s="77" t="s">
        <v>110</v>
      </c>
      <c r="C21" s="68">
        <v>46128</v>
      </c>
      <c r="D21" s="70">
        <v>2.0499999999999998</v>
      </c>
      <c r="E21" s="70">
        <v>2.06</v>
      </c>
      <c r="F21" s="58">
        <f t="shared" si="0"/>
        <v>4.8780487804879176E-3</v>
      </c>
      <c r="G21" s="67"/>
    </row>
    <row r="22" spans="1:7" ht="15.9" thickBot="1">
      <c r="C22" s="40"/>
      <c r="D22" s="41"/>
      <c r="E22" s="41"/>
      <c r="F22" s="46"/>
      <c r="G22" s="47"/>
    </row>
    <row r="23" spans="1:7" ht="14.9" thickBot="1">
      <c r="C23" s="59"/>
      <c r="D23" s="60"/>
      <c r="E23" s="61"/>
    </row>
    <row r="24" spans="1:7" ht="14.9" thickBot="1">
      <c r="C24" s="44" t="s">
        <v>140</v>
      </c>
      <c r="D24" s="45" t="s">
        <v>141</v>
      </c>
      <c r="E24" s="45" t="s">
        <v>142</v>
      </c>
      <c r="F24" s="86" t="s">
        <v>114</v>
      </c>
      <c r="G24" s="87"/>
    </row>
    <row r="25" spans="1:7" ht="15.4">
      <c r="C25" s="69">
        <v>2.11</v>
      </c>
      <c r="D25" s="69">
        <v>2.06</v>
      </c>
      <c r="E25" s="58">
        <f>IF(OR(C25=0,NOT(ISNUMBER(C25)),NOT(ISNUMBER(D25))),"",(D25 - C25) / C25)</f>
        <v>-2.3696682464454895E-2</v>
      </c>
    </row>
  </sheetData>
  <mergeCells count="1">
    <mergeCell ref="F24:G24"/>
  </mergeCells>
  <conditionalFormatting sqref="F2:F21">
    <cfRule type="cellIs" dxfId="58" priority="3" operator="lessThan">
      <formula>0</formula>
    </cfRule>
    <cfRule type="cellIs" dxfId="57" priority="4" operator="greaterThan">
      <formula>0</formula>
    </cfRule>
  </conditionalFormatting>
  <conditionalFormatting sqref="E25">
    <cfRule type="cellIs" dxfId="56" priority="1" operator="lessThan">
      <formula>0</formula>
    </cfRule>
    <cfRule type="cellIs" dxfId="55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" sqref="A2:F21"/>
    </sheetView>
  </sheetViews>
  <sheetFormatPr defaultColWidth="8.9140625" defaultRowHeight="13.9"/>
  <cols>
    <col min="1" max="1" width="15.25" style="37" customWidth="1"/>
    <col min="2" max="2" width="15.6640625" style="37" customWidth="1"/>
    <col min="3" max="3" width="16.6640625" style="37" customWidth="1"/>
    <col min="4" max="4" width="16.25" style="37" customWidth="1"/>
    <col min="5" max="5" width="17.25" style="37" customWidth="1"/>
    <col min="6" max="6" width="16.58203125" style="37" customWidth="1"/>
    <col min="7" max="7" width="37.58203125" style="37" customWidth="1"/>
    <col min="8" max="16384" width="8.9140625" style="37"/>
  </cols>
  <sheetData>
    <row r="1" spans="1:7" ht="14.4" thickBot="1">
      <c r="A1" s="49" t="s">
        <v>47</v>
      </c>
      <c r="B1" s="49" t="s">
        <v>48</v>
      </c>
      <c r="C1" s="49" t="s">
        <v>49</v>
      </c>
      <c r="D1" s="52" t="s">
        <v>50</v>
      </c>
      <c r="E1" s="52" t="s">
        <v>51</v>
      </c>
      <c r="F1" s="52" t="s">
        <v>52</v>
      </c>
      <c r="G1" s="52" t="s">
        <v>53</v>
      </c>
    </row>
    <row r="2" spans="1:7" ht="15.4">
      <c r="A2" s="77" t="s">
        <v>19</v>
      </c>
      <c r="B2" s="78" t="s">
        <v>115</v>
      </c>
      <c r="C2" s="68">
        <v>46098</v>
      </c>
      <c r="D2" s="70">
        <v>6.1</v>
      </c>
      <c r="E2" s="70">
        <v>6.07</v>
      </c>
      <c r="F2" s="58">
        <f>IF(OR(D2=0,NOT(ISNUMBER(D2)),NOT(ISNUMBER(E2))),"",(E2 - D2) / D2)</f>
        <v>-4.9180327868851414E-3</v>
      </c>
      <c r="G2" s="67"/>
    </row>
    <row r="3" spans="1:7" ht="15.4">
      <c r="A3" s="77" t="s">
        <v>19</v>
      </c>
      <c r="B3" s="78" t="s">
        <v>115</v>
      </c>
      <c r="C3" s="68">
        <v>46099</v>
      </c>
      <c r="D3" s="70">
        <v>5.96</v>
      </c>
      <c r="E3" s="70">
        <v>5.86</v>
      </c>
      <c r="F3" s="58">
        <f t="shared" ref="F3:F21" si="0">IF(OR(D3=0,NOT(ISNUMBER(D3)),NOT(ISNUMBER(E3))),"",(E3 - D3) / D3)</f>
        <v>-1.6778523489932827E-2</v>
      </c>
      <c r="G3" s="67"/>
    </row>
    <row r="4" spans="1:7" ht="15.4">
      <c r="A4" s="77" t="s">
        <v>19</v>
      </c>
      <c r="B4" s="78" t="s">
        <v>115</v>
      </c>
      <c r="C4" s="68">
        <v>46100</v>
      </c>
      <c r="D4" s="70">
        <v>5.81</v>
      </c>
      <c r="E4" s="70">
        <v>6.04</v>
      </c>
      <c r="F4" s="58">
        <f t="shared" si="0"/>
        <v>3.9586919104991472E-2</v>
      </c>
      <c r="G4" s="67"/>
    </row>
    <row r="5" spans="1:7" ht="15.4">
      <c r="A5" s="77" t="s">
        <v>19</v>
      </c>
      <c r="B5" s="78" t="s">
        <v>115</v>
      </c>
      <c r="C5" s="68">
        <v>46101</v>
      </c>
      <c r="D5" s="70">
        <v>6</v>
      </c>
      <c r="E5" s="70">
        <v>5.84</v>
      </c>
      <c r="F5" s="58">
        <f t="shared" si="0"/>
        <v>-2.6666666666666689E-2</v>
      </c>
      <c r="G5" s="67"/>
    </row>
    <row r="6" spans="1:7" ht="15.4">
      <c r="A6" s="77" t="s">
        <v>19</v>
      </c>
      <c r="B6" s="78" t="s">
        <v>115</v>
      </c>
      <c r="C6" s="68">
        <v>46105</v>
      </c>
      <c r="D6" s="70">
        <v>5.87</v>
      </c>
      <c r="E6" s="70">
        <v>5.69</v>
      </c>
      <c r="F6" s="58">
        <f t="shared" si="0"/>
        <v>-3.0664395229982915E-2</v>
      </c>
      <c r="G6" s="67"/>
    </row>
    <row r="7" spans="1:7" ht="15.4">
      <c r="A7" s="77" t="s">
        <v>19</v>
      </c>
      <c r="B7" s="78" t="s">
        <v>115</v>
      </c>
      <c r="C7" s="68">
        <v>46106</v>
      </c>
      <c r="D7" s="70">
        <v>5.81</v>
      </c>
      <c r="E7" s="70">
        <v>5.87</v>
      </c>
      <c r="F7" s="58">
        <f t="shared" si="0"/>
        <v>1.0327022375215232E-2</v>
      </c>
      <c r="G7" s="67"/>
    </row>
    <row r="8" spans="1:7" ht="15.4">
      <c r="A8" s="77" t="s">
        <v>19</v>
      </c>
      <c r="B8" s="78" t="s">
        <v>115</v>
      </c>
      <c r="C8" s="68">
        <v>46107</v>
      </c>
      <c r="D8" s="70">
        <v>5.8</v>
      </c>
      <c r="E8" s="70">
        <v>5.84</v>
      </c>
      <c r="F8" s="58">
        <f t="shared" si="0"/>
        <v>6.896551724137937E-3</v>
      </c>
      <c r="G8" s="67"/>
    </row>
    <row r="9" spans="1:7" ht="15.4">
      <c r="A9" s="77" t="s">
        <v>19</v>
      </c>
      <c r="B9" s="78" t="s">
        <v>115</v>
      </c>
      <c r="C9" s="68">
        <v>46108</v>
      </c>
      <c r="D9" s="70">
        <v>5.74</v>
      </c>
      <c r="E9" s="70">
        <v>5.51</v>
      </c>
      <c r="F9" s="58">
        <f t="shared" si="0"/>
        <v>-4.0069686411149899E-2</v>
      </c>
      <c r="G9" s="67" t="s">
        <v>90</v>
      </c>
    </row>
    <row r="10" spans="1:7" ht="15.4">
      <c r="A10" s="77" t="s">
        <v>19</v>
      </c>
      <c r="B10" s="78" t="s">
        <v>115</v>
      </c>
      <c r="C10" s="68">
        <v>46112</v>
      </c>
      <c r="D10" s="70">
        <v>5.59</v>
      </c>
      <c r="E10" s="70">
        <v>5.73</v>
      </c>
      <c r="F10" s="58">
        <f t="shared" si="0"/>
        <v>2.5044722719141425E-2</v>
      </c>
      <c r="G10" s="67"/>
    </row>
    <row r="11" spans="1:7" ht="15.4">
      <c r="A11" s="77" t="s">
        <v>19</v>
      </c>
      <c r="B11" s="78" t="s">
        <v>115</v>
      </c>
      <c r="C11" s="68">
        <v>46113</v>
      </c>
      <c r="D11" s="70">
        <v>5.8</v>
      </c>
      <c r="E11" s="70">
        <v>5.82</v>
      </c>
      <c r="F11" s="58">
        <f t="shared" si="0"/>
        <v>3.4482758620690453E-3</v>
      </c>
      <c r="G11" s="67"/>
    </row>
    <row r="12" spans="1:7" ht="15.4">
      <c r="A12" s="77" t="s">
        <v>19</v>
      </c>
      <c r="B12" s="78" t="s">
        <v>115</v>
      </c>
      <c r="C12" s="68">
        <v>46114</v>
      </c>
      <c r="D12" s="70">
        <v>5.78</v>
      </c>
      <c r="E12" s="70">
        <v>5.85</v>
      </c>
      <c r="F12" s="58">
        <f t="shared" si="0"/>
        <v>1.2110726643598512E-2</v>
      </c>
      <c r="G12" s="67"/>
    </row>
    <row r="13" spans="1:7" ht="15.4">
      <c r="A13" s="77" t="s">
        <v>19</v>
      </c>
      <c r="B13" s="78" t="s">
        <v>115</v>
      </c>
      <c r="C13" s="68">
        <v>46115</v>
      </c>
      <c r="D13" s="70">
        <v>5.75</v>
      </c>
      <c r="E13" s="70">
        <v>5.91</v>
      </c>
      <c r="F13" s="58">
        <f t="shared" si="0"/>
        <v>2.7826086956521764E-2</v>
      </c>
      <c r="G13" s="67"/>
    </row>
    <row r="14" spans="1:7" ht="15.4">
      <c r="A14" s="77" t="s">
        <v>19</v>
      </c>
      <c r="B14" s="78" t="s">
        <v>115</v>
      </c>
      <c r="C14" s="68">
        <v>46119</v>
      </c>
      <c r="D14" s="70">
        <v>5.85</v>
      </c>
      <c r="E14" s="70">
        <v>6.01</v>
      </c>
      <c r="F14" s="58">
        <f t="shared" si="0"/>
        <v>2.7350427350427375E-2</v>
      </c>
      <c r="G14" s="67"/>
    </row>
    <row r="15" spans="1:7" ht="15.4">
      <c r="A15" s="77" t="s">
        <v>19</v>
      </c>
      <c r="B15" s="78" t="s">
        <v>115</v>
      </c>
      <c r="C15" s="68">
        <v>46120</v>
      </c>
      <c r="D15" s="70">
        <v>6</v>
      </c>
      <c r="E15" s="70">
        <v>6.04</v>
      </c>
      <c r="F15" s="58">
        <f t="shared" si="0"/>
        <v>6.6666666666666723E-3</v>
      </c>
      <c r="G15" s="67"/>
    </row>
    <row r="16" spans="1:7" ht="15.4">
      <c r="A16" s="77" t="s">
        <v>19</v>
      </c>
      <c r="B16" s="78" t="s">
        <v>115</v>
      </c>
      <c r="C16" s="68">
        <v>46121</v>
      </c>
      <c r="D16" s="70">
        <v>6.3</v>
      </c>
      <c r="E16" s="70">
        <v>5.53</v>
      </c>
      <c r="F16" s="58">
        <f t="shared" si="0"/>
        <v>-0.12222222222222216</v>
      </c>
      <c r="G16" s="67" t="s">
        <v>116</v>
      </c>
    </row>
    <row r="17" spans="1:7" ht="15.4">
      <c r="A17" s="77" t="s">
        <v>19</v>
      </c>
      <c r="B17" s="78" t="s">
        <v>115</v>
      </c>
      <c r="C17" s="68">
        <v>46122</v>
      </c>
      <c r="D17" s="70">
        <v>5.61</v>
      </c>
      <c r="E17" s="70">
        <v>5.6</v>
      </c>
      <c r="F17" s="58">
        <f t="shared" si="0"/>
        <v>-1.7825311942960204E-3</v>
      </c>
      <c r="G17" s="67"/>
    </row>
    <row r="18" spans="1:7" ht="15.4">
      <c r="A18" s="77" t="s">
        <v>19</v>
      </c>
      <c r="B18" s="78" t="s">
        <v>115</v>
      </c>
      <c r="C18" s="68">
        <v>46123</v>
      </c>
      <c r="D18" s="70">
        <v>5.61</v>
      </c>
      <c r="E18" s="70">
        <v>5.36</v>
      </c>
      <c r="F18" s="58">
        <f t="shared" si="0"/>
        <v>-4.4563279857397504E-2</v>
      </c>
      <c r="G18" s="67" t="s">
        <v>73</v>
      </c>
    </row>
    <row r="19" spans="1:7" ht="15.4">
      <c r="A19" s="77" t="s">
        <v>19</v>
      </c>
      <c r="B19" s="78" t="s">
        <v>115</v>
      </c>
      <c r="C19" s="68">
        <v>46126</v>
      </c>
      <c r="D19" s="70">
        <v>5.34</v>
      </c>
      <c r="E19" s="70">
        <v>5.75</v>
      </c>
      <c r="F19" s="58">
        <f t="shared" si="0"/>
        <v>7.6779026217228499E-2</v>
      </c>
      <c r="G19" s="67" t="s">
        <v>117</v>
      </c>
    </row>
    <row r="20" spans="1:7" ht="15.4">
      <c r="A20" s="77" t="s">
        <v>19</v>
      </c>
      <c r="B20" s="78" t="s">
        <v>115</v>
      </c>
      <c r="C20" s="68">
        <v>46127</v>
      </c>
      <c r="D20" s="70">
        <v>5.74</v>
      </c>
      <c r="E20" s="70">
        <v>5.94</v>
      </c>
      <c r="F20" s="58">
        <f t="shared" si="0"/>
        <v>3.4843205574912925E-2</v>
      </c>
      <c r="G20" s="67"/>
    </row>
    <row r="21" spans="1:7" ht="15.4">
      <c r="A21" s="77" t="s">
        <v>19</v>
      </c>
      <c r="B21" s="78" t="s">
        <v>115</v>
      </c>
      <c r="C21" s="68">
        <v>46128</v>
      </c>
      <c r="D21" s="70">
        <v>6.03</v>
      </c>
      <c r="E21" s="70">
        <v>6.15</v>
      </c>
      <c r="F21" s="58">
        <f t="shared" si="0"/>
        <v>1.9900497512437828E-2</v>
      </c>
      <c r="G21" s="67" t="s">
        <v>118</v>
      </c>
    </row>
    <row r="22" spans="1:7" ht="14.4" thickBot="1">
      <c r="C22" s="40"/>
      <c r="D22" s="41"/>
      <c r="E22" s="41"/>
      <c r="F22" s="46"/>
      <c r="G22" s="48"/>
    </row>
    <row r="23" spans="1:7" ht="14.4" thickBot="1"/>
    <row r="24" spans="1:7" ht="14.9" thickBot="1">
      <c r="C24" s="44" t="s">
        <v>140</v>
      </c>
      <c r="D24" s="45" t="s">
        <v>141</v>
      </c>
      <c r="E24" s="45" t="s">
        <v>142</v>
      </c>
      <c r="F24" s="86" t="s">
        <v>119</v>
      </c>
      <c r="G24" s="87"/>
    </row>
    <row r="25" spans="1:7" ht="15.4">
      <c r="C25" s="69">
        <v>6.1</v>
      </c>
      <c r="D25" s="69">
        <v>6.15</v>
      </c>
      <c r="E25" s="58">
        <f>IF(OR(C25=0,NOT(ISNUMBER(C25)),NOT(ISNUMBER(D25))),"",(D25 - C25) / C25)</f>
        <v>8.1967213114755265E-3</v>
      </c>
    </row>
  </sheetData>
  <mergeCells count="1">
    <mergeCell ref="F24:G24"/>
  </mergeCells>
  <conditionalFormatting sqref="F2:F21">
    <cfRule type="cellIs" dxfId="54" priority="3" operator="lessThan">
      <formula>0</formula>
    </cfRule>
    <cfRule type="cellIs" dxfId="53" priority="4" operator="greaterThan">
      <formula>0</formula>
    </cfRule>
  </conditionalFormatting>
  <conditionalFormatting sqref="E25">
    <cfRule type="cellIs" dxfId="52" priority="1" operator="lessThan">
      <formula>0</formula>
    </cfRule>
    <cfRule type="cellIs" dxfId="51" priority="2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A2" sqref="A2:F21"/>
    </sheetView>
  </sheetViews>
  <sheetFormatPr defaultColWidth="8.9140625" defaultRowHeight="13.9"/>
  <cols>
    <col min="1" max="1" width="16.58203125" style="37" customWidth="1"/>
    <col min="2" max="2" width="21.9140625" style="37" customWidth="1"/>
    <col min="3" max="3" width="18.25" style="37" customWidth="1"/>
    <col min="4" max="4" width="14.6640625" style="37" customWidth="1"/>
    <col min="5" max="5" width="16.33203125" style="37" customWidth="1"/>
    <col min="6" max="6" width="18.6640625" style="37" customWidth="1"/>
    <col min="7" max="7" width="40.4140625" style="37" customWidth="1"/>
    <col min="8" max="16384" width="8.9140625" style="37"/>
  </cols>
  <sheetData>
    <row r="1" spans="1:7" ht="14.4" thickBot="1">
      <c r="A1" s="49" t="s">
        <v>47</v>
      </c>
      <c r="B1" s="49" t="s">
        <v>48</v>
      </c>
      <c r="C1" s="49" t="s">
        <v>49</v>
      </c>
      <c r="D1" s="52" t="s">
        <v>50</v>
      </c>
      <c r="E1" s="52" t="s">
        <v>51</v>
      </c>
      <c r="F1" s="52" t="s">
        <v>52</v>
      </c>
      <c r="G1" s="52" t="s">
        <v>53</v>
      </c>
    </row>
    <row r="2" spans="1:7" ht="15.4">
      <c r="A2" s="77" t="s">
        <v>21</v>
      </c>
      <c r="B2" s="78" t="s">
        <v>120</v>
      </c>
      <c r="C2" s="68">
        <v>46098</v>
      </c>
      <c r="D2" s="69">
        <v>2.57</v>
      </c>
      <c r="E2" s="70">
        <v>2.6</v>
      </c>
      <c r="F2" s="58">
        <f>IF(OR(D2=0,NOT(ISNUMBER(D2)),NOT(ISNUMBER(E2))),"",(E2 - D2) / D2)</f>
        <v>1.167315175097286E-2</v>
      </c>
      <c r="G2" s="67"/>
    </row>
    <row r="3" spans="1:7" ht="15.4">
      <c r="A3" s="77" t="s">
        <v>21</v>
      </c>
      <c r="B3" s="78" t="s">
        <v>120</v>
      </c>
      <c r="C3" s="68">
        <v>46099</v>
      </c>
      <c r="D3" s="69">
        <v>2.56</v>
      </c>
      <c r="E3" s="70">
        <v>2.46</v>
      </c>
      <c r="F3" s="58">
        <f t="shared" ref="F3:F21" si="0">IF(OR(D3=0,NOT(ISNUMBER(D3)),NOT(ISNUMBER(E3))),"",(E3 - D3) / D3)</f>
        <v>-3.9062500000000035E-2</v>
      </c>
      <c r="G3" s="67"/>
    </row>
    <row r="4" spans="1:7" ht="15.4">
      <c r="A4" s="77" t="s">
        <v>21</v>
      </c>
      <c r="B4" s="78" t="s">
        <v>120</v>
      </c>
      <c r="C4" s="68">
        <v>46100</v>
      </c>
      <c r="D4" s="69">
        <v>2.42</v>
      </c>
      <c r="E4" s="70">
        <v>2.5099999999999998</v>
      </c>
      <c r="F4" s="58">
        <f t="shared" si="0"/>
        <v>3.7190082644628045E-2</v>
      </c>
      <c r="G4" s="67"/>
    </row>
    <row r="5" spans="1:7" ht="15.4">
      <c r="A5" s="77" t="s">
        <v>21</v>
      </c>
      <c r="B5" s="78" t="s">
        <v>120</v>
      </c>
      <c r="C5" s="68">
        <v>46101</v>
      </c>
      <c r="D5" s="69">
        <v>2.5</v>
      </c>
      <c r="E5" s="70">
        <v>2.41</v>
      </c>
      <c r="F5" s="58">
        <f t="shared" si="0"/>
        <v>-3.5999999999999942E-2</v>
      </c>
      <c r="G5" s="67"/>
    </row>
    <row r="6" spans="1:7" ht="15.4">
      <c r="A6" s="77" t="s">
        <v>21</v>
      </c>
      <c r="B6" s="78" t="s">
        <v>120</v>
      </c>
      <c r="C6" s="68">
        <v>46105</v>
      </c>
      <c r="D6" s="69">
        <v>2.4</v>
      </c>
      <c r="E6" s="70">
        <v>2.4</v>
      </c>
      <c r="F6" s="58">
        <f t="shared" si="0"/>
        <v>0</v>
      </c>
      <c r="G6" s="67"/>
    </row>
    <row r="7" spans="1:7" ht="15.4">
      <c r="A7" s="77" t="s">
        <v>21</v>
      </c>
      <c r="B7" s="78" t="s">
        <v>120</v>
      </c>
      <c r="C7" s="68">
        <v>46106</v>
      </c>
      <c r="D7" s="69">
        <v>2.42</v>
      </c>
      <c r="E7" s="70">
        <v>2.29</v>
      </c>
      <c r="F7" s="58">
        <f t="shared" si="0"/>
        <v>-5.371900826446277E-2</v>
      </c>
      <c r="G7" s="67"/>
    </row>
    <row r="8" spans="1:7" ht="15.4">
      <c r="A8" s="77" t="s">
        <v>21</v>
      </c>
      <c r="B8" s="78" t="s">
        <v>120</v>
      </c>
      <c r="C8" s="68">
        <v>46107</v>
      </c>
      <c r="D8" s="69">
        <v>2.27</v>
      </c>
      <c r="E8" s="70">
        <v>2.27</v>
      </c>
      <c r="F8" s="58">
        <f t="shared" si="0"/>
        <v>0</v>
      </c>
      <c r="G8" s="67"/>
    </row>
    <row r="9" spans="1:7" ht="15.4">
      <c r="A9" s="77" t="s">
        <v>21</v>
      </c>
      <c r="B9" s="78" t="s">
        <v>120</v>
      </c>
      <c r="C9" s="68">
        <v>46108</v>
      </c>
      <c r="D9" s="69">
        <v>2.2799999999999998</v>
      </c>
      <c r="E9" s="70">
        <v>2.21</v>
      </c>
      <c r="F9" s="58">
        <f t="shared" si="0"/>
        <v>-3.0701754385964845E-2</v>
      </c>
      <c r="G9" s="67"/>
    </row>
    <row r="10" spans="1:7" ht="15.4">
      <c r="A10" s="77" t="s">
        <v>21</v>
      </c>
      <c r="B10" s="78" t="s">
        <v>120</v>
      </c>
      <c r="C10" s="68">
        <v>46112</v>
      </c>
      <c r="D10" s="69">
        <v>2.2200000000000002</v>
      </c>
      <c r="E10" s="70">
        <v>2.2000000000000002</v>
      </c>
      <c r="F10" s="58">
        <f t="shared" si="0"/>
        <v>-9.0090090090090159E-3</v>
      </c>
      <c r="G10" s="67" t="s">
        <v>61</v>
      </c>
    </row>
    <row r="11" spans="1:7" ht="15.4">
      <c r="A11" s="77" t="s">
        <v>21</v>
      </c>
      <c r="B11" s="78" t="s">
        <v>120</v>
      </c>
      <c r="C11" s="68">
        <v>46113</v>
      </c>
      <c r="D11" s="69">
        <v>2.2000000000000002</v>
      </c>
      <c r="E11" s="70">
        <v>2.27</v>
      </c>
      <c r="F11" s="58">
        <f t="shared" si="0"/>
        <v>3.1818181818181746E-2</v>
      </c>
      <c r="G11" s="67" t="s">
        <v>70</v>
      </c>
    </row>
    <row r="12" spans="1:7" ht="15.4">
      <c r="A12" s="77" t="s">
        <v>21</v>
      </c>
      <c r="B12" s="78" t="s">
        <v>120</v>
      </c>
      <c r="C12" s="68">
        <v>46114</v>
      </c>
      <c r="D12" s="69">
        <v>2.34</v>
      </c>
      <c r="E12" s="70">
        <v>2.41</v>
      </c>
      <c r="F12" s="58">
        <f t="shared" si="0"/>
        <v>2.9914529914530037E-2</v>
      </c>
      <c r="G12" s="67"/>
    </row>
    <row r="13" spans="1:7" ht="15.4">
      <c r="A13" s="77" t="s">
        <v>21</v>
      </c>
      <c r="B13" s="78" t="s">
        <v>120</v>
      </c>
      <c r="C13" s="68">
        <v>46115</v>
      </c>
      <c r="D13" s="69">
        <v>2.37</v>
      </c>
      <c r="E13" s="70">
        <v>2.41</v>
      </c>
      <c r="F13" s="58">
        <f t="shared" si="0"/>
        <v>1.6877637130801704E-2</v>
      </c>
      <c r="G13" s="67"/>
    </row>
    <row r="14" spans="1:7" ht="15.4">
      <c r="A14" s="77" t="s">
        <v>21</v>
      </c>
      <c r="B14" s="78" t="s">
        <v>120</v>
      </c>
      <c r="C14" s="68">
        <v>46119</v>
      </c>
      <c r="D14" s="69">
        <v>2.44</v>
      </c>
      <c r="E14" s="70">
        <v>2.37</v>
      </c>
      <c r="F14" s="58">
        <f t="shared" si="0"/>
        <v>-2.8688524590163869E-2</v>
      </c>
      <c r="G14" s="67"/>
    </row>
    <row r="15" spans="1:7" ht="15.4">
      <c r="A15" s="77" t="s">
        <v>21</v>
      </c>
      <c r="B15" s="78" t="s">
        <v>120</v>
      </c>
      <c r="C15" s="68">
        <v>46120</v>
      </c>
      <c r="D15" s="69">
        <v>2.35</v>
      </c>
      <c r="E15" s="70">
        <v>2.2999999999999998</v>
      </c>
      <c r="F15" s="58">
        <f t="shared" si="0"/>
        <v>-2.1276595744680965E-2</v>
      </c>
      <c r="G15" s="67"/>
    </row>
    <row r="16" spans="1:7" ht="15.4">
      <c r="A16" s="77" t="s">
        <v>21</v>
      </c>
      <c r="B16" s="78" t="s">
        <v>120</v>
      </c>
      <c r="C16" s="68">
        <v>46121</v>
      </c>
      <c r="D16" s="69">
        <v>2.41</v>
      </c>
      <c r="E16" s="70">
        <v>2.33</v>
      </c>
      <c r="F16" s="58">
        <f t="shared" si="0"/>
        <v>-3.3195020746887995E-2</v>
      </c>
      <c r="G16" s="67"/>
    </row>
    <row r="17" spans="1:7" ht="15.4">
      <c r="A17" s="77" t="s">
        <v>21</v>
      </c>
      <c r="B17" s="78" t="s">
        <v>120</v>
      </c>
      <c r="C17" s="68">
        <v>46122</v>
      </c>
      <c r="D17" s="69">
        <v>2.31</v>
      </c>
      <c r="E17" s="70">
        <v>2.3199999999999998</v>
      </c>
      <c r="F17" s="58">
        <f t="shared" si="0"/>
        <v>4.3290043290042362E-3</v>
      </c>
      <c r="G17" s="67"/>
    </row>
    <row r="18" spans="1:7" ht="15.4">
      <c r="A18" s="77" t="s">
        <v>21</v>
      </c>
      <c r="B18" s="78" t="s">
        <v>120</v>
      </c>
      <c r="C18" s="68">
        <v>46123</v>
      </c>
      <c r="D18" s="69">
        <v>2.34</v>
      </c>
      <c r="E18" s="70">
        <v>2.27</v>
      </c>
      <c r="F18" s="58">
        <f t="shared" si="0"/>
        <v>-2.9914529914529846E-2</v>
      </c>
      <c r="G18" s="67"/>
    </row>
    <row r="19" spans="1:7" ht="15.4">
      <c r="A19" s="77" t="s">
        <v>21</v>
      </c>
      <c r="B19" s="78" t="s">
        <v>120</v>
      </c>
      <c r="C19" s="68">
        <v>46126</v>
      </c>
      <c r="D19" s="69">
        <v>2.29</v>
      </c>
      <c r="E19" s="70">
        <v>2.38</v>
      </c>
      <c r="F19" s="58">
        <f t="shared" si="0"/>
        <v>3.9301310043668061E-2</v>
      </c>
      <c r="G19" s="67" t="s">
        <v>70</v>
      </c>
    </row>
    <row r="20" spans="1:7" ht="15.4">
      <c r="A20" s="77" t="s">
        <v>21</v>
      </c>
      <c r="B20" s="78" t="s">
        <v>120</v>
      </c>
      <c r="C20" s="68">
        <v>46127</v>
      </c>
      <c r="D20" s="69">
        <v>2.4500000000000002</v>
      </c>
      <c r="E20" s="70">
        <v>2.4700000000000002</v>
      </c>
      <c r="F20" s="58">
        <f t="shared" si="0"/>
        <v>8.1632653061224549E-3</v>
      </c>
      <c r="G20" s="67"/>
    </row>
    <row r="21" spans="1:7" ht="15.4">
      <c r="A21" s="77" t="s">
        <v>21</v>
      </c>
      <c r="B21" s="78" t="s">
        <v>120</v>
      </c>
      <c r="C21" s="68">
        <v>46128</v>
      </c>
      <c r="D21" s="69">
        <v>2.4900000000000002</v>
      </c>
      <c r="E21" s="70">
        <v>2.59</v>
      </c>
      <c r="F21" s="58">
        <f t="shared" si="0"/>
        <v>4.0160642570280979E-2</v>
      </c>
      <c r="G21" s="67" t="s">
        <v>121</v>
      </c>
    </row>
    <row r="22" spans="1:7" ht="14.4" thickBot="1">
      <c r="C22" s="40"/>
      <c r="D22" s="41"/>
      <c r="E22" s="41"/>
      <c r="F22" s="46"/>
      <c r="G22" s="48"/>
    </row>
    <row r="23" spans="1:7" ht="14.4" thickBot="1">
      <c r="C23" s="40"/>
      <c r="D23" s="41"/>
      <c r="E23" s="41"/>
      <c r="F23" s="46"/>
      <c r="G23" s="48"/>
    </row>
    <row r="24" spans="1:7" ht="14.9" thickBot="1">
      <c r="C24" s="44" t="s">
        <v>140</v>
      </c>
      <c r="D24" s="45" t="s">
        <v>141</v>
      </c>
      <c r="E24" s="45" t="s">
        <v>142</v>
      </c>
      <c r="F24" s="86" t="s">
        <v>122</v>
      </c>
      <c r="G24" s="87"/>
    </row>
    <row r="25" spans="1:7" ht="15.4">
      <c r="C25" s="69">
        <v>2.57</v>
      </c>
      <c r="D25" s="69">
        <v>2.59</v>
      </c>
      <c r="E25" s="71">
        <f>IF(OR(C25=0,NOT(ISNUMBER(C25)),NOT(ISNUMBER(D25))),"",(D25 - C25) / C25)</f>
        <v>7.7821011673151821E-3</v>
      </c>
    </row>
  </sheetData>
  <mergeCells count="1">
    <mergeCell ref="F24:G24"/>
  </mergeCells>
  <conditionalFormatting sqref="F2:F21">
    <cfRule type="cellIs" dxfId="50" priority="5" operator="lessThan">
      <formula>0</formula>
    </cfRule>
    <cfRule type="cellIs" dxfId="49" priority="6" operator="greaterThan">
      <formula>0</formula>
    </cfRule>
  </conditionalFormatting>
  <conditionalFormatting sqref="E25">
    <cfRule type="cellIs" dxfId="48" priority="1" operator="lessThan">
      <formula>0</formula>
    </cfRule>
    <cfRule type="cellIs" dxfId="47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A2" sqref="A2:F21"/>
    </sheetView>
  </sheetViews>
  <sheetFormatPr defaultColWidth="8.9140625" defaultRowHeight="13.9"/>
  <cols>
    <col min="1" max="1" width="12.25" style="37" customWidth="1"/>
    <col min="2" max="2" width="19.08203125" style="37" customWidth="1"/>
    <col min="3" max="3" width="19" style="37" customWidth="1"/>
    <col min="4" max="4" width="15" style="37" customWidth="1"/>
    <col min="5" max="5" width="16.25" style="37" customWidth="1"/>
    <col min="6" max="6" width="19.9140625" style="37" customWidth="1"/>
    <col min="7" max="7" width="41.6640625" style="37" customWidth="1"/>
    <col min="8" max="16384" width="8.9140625" style="37"/>
  </cols>
  <sheetData>
    <row r="1" spans="1:7" ht="14.4" thickBot="1">
      <c r="A1" s="49" t="s">
        <v>47</v>
      </c>
      <c r="B1" s="49" t="s">
        <v>48</v>
      </c>
      <c r="C1" s="49" t="s">
        <v>49</v>
      </c>
      <c r="D1" s="52" t="s">
        <v>50</v>
      </c>
      <c r="E1" s="52" t="s">
        <v>51</v>
      </c>
      <c r="F1" s="52" t="s">
        <v>52</v>
      </c>
      <c r="G1" s="52" t="s">
        <v>53</v>
      </c>
    </row>
    <row r="2" spans="1:7" ht="15.4">
      <c r="A2" s="77" t="s">
        <v>23</v>
      </c>
      <c r="B2" s="78" t="s">
        <v>123</v>
      </c>
      <c r="C2" s="68">
        <v>46098</v>
      </c>
      <c r="D2" s="69">
        <v>22.27</v>
      </c>
      <c r="E2" s="70">
        <v>24.18</v>
      </c>
      <c r="F2" s="58">
        <f>IF(OR(D2=0,NOT(ISNUMBER(D2)),NOT(ISNUMBER(E2))),"",(E2 - D2) / D2)</f>
        <v>8.5765603951504274E-2</v>
      </c>
      <c r="G2" s="67" t="s">
        <v>124</v>
      </c>
    </row>
    <row r="3" spans="1:7" ht="15.4">
      <c r="A3" s="77" t="s">
        <v>23</v>
      </c>
      <c r="B3" s="78" t="s">
        <v>123</v>
      </c>
      <c r="C3" s="68">
        <v>46099</v>
      </c>
      <c r="D3" s="69">
        <v>24.03</v>
      </c>
      <c r="E3" s="70">
        <v>26.88</v>
      </c>
      <c r="F3" s="58">
        <f t="shared" ref="F3:F21" si="0">IF(OR(D3=0,NOT(ISNUMBER(D3)),NOT(ISNUMBER(E3))),"",(E3 - D3) / D3)</f>
        <v>0.11860174781523086</v>
      </c>
      <c r="G3" s="67" t="s">
        <v>125</v>
      </c>
    </row>
    <row r="4" spans="1:7" ht="15.4">
      <c r="A4" s="77" t="s">
        <v>23</v>
      </c>
      <c r="B4" s="78" t="s">
        <v>123</v>
      </c>
      <c r="C4" s="68">
        <v>46100</v>
      </c>
      <c r="D4" s="69">
        <v>26.57</v>
      </c>
      <c r="E4" s="70">
        <v>26.45</v>
      </c>
      <c r="F4" s="58">
        <f t="shared" si="0"/>
        <v>-4.5163718479488517E-3</v>
      </c>
      <c r="G4" s="67"/>
    </row>
    <row r="5" spans="1:7" ht="15.4">
      <c r="A5" s="77" t="s">
        <v>23</v>
      </c>
      <c r="B5" s="78" t="s">
        <v>123</v>
      </c>
      <c r="C5" s="68">
        <v>46101</v>
      </c>
      <c r="D5" s="69">
        <v>26.48</v>
      </c>
      <c r="E5" s="70">
        <v>25.2</v>
      </c>
      <c r="F5" s="58">
        <f t="shared" si="0"/>
        <v>-4.8338368580060465E-2</v>
      </c>
      <c r="G5" s="67" t="s">
        <v>126</v>
      </c>
    </row>
    <row r="6" spans="1:7" ht="15.4">
      <c r="A6" s="77" t="s">
        <v>23</v>
      </c>
      <c r="B6" s="78" t="s">
        <v>123</v>
      </c>
      <c r="C6" s="68">
        <v>46105</v>
      </c>
      <c r="D6" s="69">
        <v>28.55</v>
      </c>
      <c r="E6" s="70">
        <v>28.2</v>
      </c>
      <c r="F6" s="58">
        <f t="shared" si="0"/>
        <v>-1.2259194395796896E-2</v>
      </c>
      <c r="G6" s="67" t="s">
        <v>127</v>
      </c>
    </row>
    <row r="7" spans="1:7" ht="15.4">
      <c r="A7" s="77" t="s">
        <v>23</v>
      </c>
      <c r="B7" s="78" t="s">
        <v>123</v>
      </c>
      <c r="C7" s="68">
        <v>46106</v>
      </c>
      <c r="D7" s="69">
        <v>29.47</v>
      </c>
      <c r="E7" s="70">
        <v>29.79</v>
      </c>
      <c r="F7" s="58">
        <f t="shared" si="0"/>
        <v>1.0858500169664075E-2</v>
      </c>
      <c r="G7" s="67"/>
    </row>
    <row r="8" spans="1:7" ht="15.4">
      <c r="A8" s="77" t="s">
        <v>23</v>
      </c>
      <c r="B8" s="78" t="s">
        <v>123</v>
      </c>
      <c r="C8" s="68">
        <v>46107</v>
      </c>
      <c r="D8" s="69">
        <v>29.5</v>
      </c>
      <c r="E8" s="70">
        <v>28.59</v>
      </c>
      <c r="F8" s="58">
        <f t="shared" si="0"/>
        <v>-3.084745762711865E-2</v>
      </c>
      <c r="G8" s="67"/>
    </row>
    <row r="9" spans="1:7" ht="15.4">
      <c r="A9" s="77" t="s">
        <v>23</v>
      </c>
      <c r="B9" s="78" t="s">
        <v>123</v>
      </c>
      <c r="C9" s="68">
        <v>46108</v>
      </c>
      <c r="D9" s="69">
        <v>28.1</v>
      </c>
      <c r="E9" s="70">
        <v>27.43</v>
      </c>
      <c r="F9" s="58">
        <f t="shared" si="0"/>
        <v>-2.3843416370106819E-2</v>
      </c>
      <c r="G9" s="67"/>
    </row>
    <row r="10" spans="1:7" ht="15.4">
      <c r="A10" s="77" t="s">
        <v>23</v>
      </c>
      <c r="B10" s="78" t="s">
        <v>123</v>
      </c>
      <c r="C10" s="68">
        <v>46112</v>
      </c>
      <c r="D10" s="69">
        <v>28.43</v>
      </c>
      <c r="E10" s="70">
        <v>25.52</v>
      </c>
      <c r="F10" s="58">
        <f t="shared" si="0"/>
        <v>-0.10235666549419628</v>
      </c>
      <c r="G10" s="67"/>
    </row>
    <row r="11" spans="1:7" ht="15.4">
      <c r="A11" s="77" t="s">
        <v>23</v>
      </c>
      <c r="B11" s="78" t="s">
        <v>123</v>
      </c>
      <c r="C11" s="68">
        <v>46113</v>
      </c>
      <c r="D11" s="69">
        <v>26.08</v>
      </c>
      <c r="E11" s="70">
        <v>29.06</v>
      </c>
      <c r="F11" s="58">
        <f t="shared" si="0"/>
        <v>0.11426380368098162</v>
      </c>
      <c r="G11" s="67" t="s">
        <v>128</v>
      </c>
    </row>
    <row r="12" spans="1:7" ht="15.4">
      <c r="A12" s="77" t="s">
        <v>23</v>
      </c>
      <c r="B12" s="78" t="s">
        <v>123</v>
      </c>
      <c r="C12" s="68">
        <v>46114</v>
      </c>
      <c r="D12" s="69">
        <v>29.98</v>
      </c>
      <c r="E12" s="70">
        <v>32.36</v>
      </c>
      <c r="F12" s="58">
        <f t="shared" si="0"/>
        <v>7.9386257505003305E-2</v>
      </c>
      <c r="G12" s="67"/>
    </row>
    <row r="13" spans="1:7" ht="15.4">
      <c r="A13" s="77" t="s">
        <v>23</v>
      </c>
      <c r="B13" s="78" t="s">
        <v>123</v>
      </c>
      <c r="C13" s="68">
        <v>46115</v>
      </c>
      <c r="D13" s="69">
        <v>30.8</v>
      </c>
      <c r="E13" s="70">
        <v>33.5</v>
      </c>
      <c r="F13" s="58">
        <f t="shared" si="0"/>
        <v>8.7662337662337636E-2</v>
      </c>
      <c r="G13" s="67" t="s">
        <v>98</v>
      </c>
    </row>
    <row r="14" spans="1:7" ht="15.4">
      <c r="A14" s="77" t="s">
        <v>23</v>
      </c>
      <c r="B14" s="78" t="s">
        <v>123</v>
      </c>
      <c r="C14" s="68">
        <v>46119</v>
      </c>
      <c r="D14" s="69">
        <v>33.94</v>
      </c>
      <c r="E14" s="70">
        <v>31.54</v>
      </c>
      <c r="F14" s="58">
        <f t="shared" si="0"/>
        <v>-7.0713022981732432E-2</v>
      </c>
      <c r="G14" s="67" t="s">
        <v>129</v>
      </c>
    </row>
    <row r="15" spans="1:7" ht="15.4">
      <c r="A15" s="77" t="s">
        <v>23</v>
      </c>
      <c r="B15" s="78" t="s">
        <v>123</v>
      </c>
      <c r="C15" s="68">
        <v>46120</v>
      </c>
      <c r="D15" s="69">
        <v>31.63</v>
      </c>
      <c r="E15" s="70">
        <v>31.6</v>
      </c>
      <c r="F15" s="58">
        <f t="shared" si="0"/>
        <v>-9.4846664558955374E-4</v>
      </c>
      <c r="G15" s="67"/>
    </row>
    <row r="16" spans="1:7" ht="15.4">
      <c r="A16" s="77" t="s">
        <v>23</v>
      </c>
      <c r="B16" s="78" t="s">
        <v>123</v>
      </c>
      <c r="C16" s="68">
        <v>46121</v>
      </c>
      <c r="D16" s="69">
        <v>34.049999999999997</v>
      </c>
      <c r="E16" s="70">
        <v>32.75</v>
      </c>
      <c r="F16" s="58">
        <f t="shared" si="0"/>
        <v>-3.8179148311306824E-2</v>
      </c>
      <c r="G16" s="67"/>
    </row>
    <row r="17" spans="1:7" ht="15.4">
      <c r="A17" s="77" t="s">
        <v>23</v>
      </c>
      <c r="B17" s="78" t="s">
        <v>123</v>
      </c>
      <c r="C17" s="68">
        <v>46122</v>
      </c>
      <c r="D17" s="69">
        <v>32.74</v>
      </c>
      <c r="E17" s="70">
        <v>29.46</v>
      </c>
      <c r="F17" s="58">
        <f t="shared" si="0"/>
        <v>-0.10018326206475263</v>
      </c>
      <c r="G17" s="67" t="s">
        <v>97</v>
      </c>
    </row>
    <row r="18" spans="1:7" ht="15.4">
      <c r="A18" s="77" t="s">
        <v>23</v>
      </c>
      <c r="B18" s="78" t="s">
        <v>123</v>
      </c>
      <c r="C18" s="68">
        <v>46123</v>
      </c>
      <c r="D18" s="69">
        <v>30.02</v>
      </c>
      <c r="E18" s="70">
        <v>23.07</v>
      </c>
      <c r="F18" s="58">
        <f t="shared" si="0"/>
        <v>-0.23151232511658892</v>
      </c>
      <c r="G18" s="67" t="s">
        <v>130</v>
      </c>
    </row>
    <row r="19" spans="1:7" ht="15.4">
      <c r="A19" s="77" t="s">
        <v>23</v>
      </c>
      <c r="B19" s="78" t="s">
        <v>123</v>
      </c>
      <c r="C19" s="68">
        <v>46126</v>
      </c>
      <c r="D19" s="69">
        <v>23.1</v>
      </c>
      <c r="E19" s="70">
        <v>24.37</v>
      </c>
      <c r="F19" s="58">
        <f t="shared" si="0"/>
        <v>5.497835497835496E-2</v>
      </c>
      <c r="G19" s="67" t="s">
        <v>131</v>
      </c>
    </row>
    <row r="20" spans="1:7" ht="15.4">
      <c r="A20" s="77" t="s">
        <v>23</v>
      </c>
      <c r="B20" s="78" t="s">
        <v>123</v>
      </c>
      <c r="C20" s="68">
        <v>46127</v>
      </c>
      <c r="D20" s="69">
        <v>24.52</v>
      </c>
      <c r="E20" s="70">
        <v>20.95</v>
      </c>
      <c r="F20" s="58">
        <f t="shared" si="0"/>
        <v>-0.14559543230016314</v>
      </c>
      <c r="G20" s="67" t="s">
        <v>132</v>
      </c>
    </row>
    <row r="21" spans="1:7" ht="15.4">
      <c r="A21" s="77" t="s">
        <v>23</v>
      </c>
      <c r="B21" s="78" t="s">
        <v>123</v>
      </c>
      <c r="C21" s="68">
        <v>46128</v>
      </c>
      <c r="D21" s="69">
        <v>21.76</v>
      </c>
      <c r="E21" s="70">
        <v>23.38</v>
      </c>
      <c r="F21" s="58">
        <f t="shared" si="0"/>
        <v>7.444852941176458E-2</v>
      </c>
      <c r="G21" s="67" t="s">
        <v>117</v>
      </c>
    </row>
    <row r="22" spans="1:7" ht="14.4" thickBot="1">
      <c r="C22" s="40"/>
      <c r="D22" s="41"/>
      <c r="E22" s="41"/>
      <c r="F22" s="46"/>
      <c r="G22" s="48"/>
    </row>
    <row r="23" spans="1:7" ht="14.9" thickBot="1">
      <c r="C23" s="44" t="s">
        <v>140</v>
      </c>
      <c r="D23" s="45" t="s">
        <v>141</v>
      </c>
      <c r="E23" s="45" t="s">
        <v>142</v>
      </c>
      <c r="F23" s="86" t="s">
        <v>133</v>
      </c>
      <c r="G23" s="87"/>
    </row>
    <row r="24" spans="1:7" ht="15.4">
      <c r="C24" s="69">
        <v>22.27</v>
      </c>
      <c r="D24" s="69">
        <v>23.38</v>
      </c>
      <c r="E24" s="58">
        <f>IF(OR(C24=0,NOT(ISNUMBER(C24)),NOT(ISNUMBER(D24))),"",(D24 - C24) / C24)</f>
        <v>4.9842837898518164E-2</v>
      </c>
    </row>
  </sheetData>
  <mergeCells count="1">
    <mergeCell ref="F23:G23"/>
  </mergeCells>
  <conditionalFormatting sqref="F2:F21">
    <cfRule type="cellIs" dxfId="46" priority="3" operator="lessThan">
      <formula>0</formula>
    </cfRule>
    <cfRule type="cellIs" dxfId="45" priority="4" operator="greaterThan">
      <formula>0</formula>
    </cfRule>
  </conditionalFormatting>
  <conditionalFormatting sqref="E24">
    <cfRule type="cellIs" dxfId="44" priority="1" operator="lessThan">
      <formula>0</formula>
    </cfRule>
    <cfRule type="cellIs" dxfId="43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4"/>
  <sheetViews>
    <sheetView topLeftCell="A10" workbookViewId="0">
      <selection activeCell="N60" sqref="N60"/>
    </sheetView>
  </sheetViews>
  <sheetFormatPr defaultRowHeight="15.4"/>
  <cols>
    <col min="1" max="1" width="7.4140625" customWidth="1"/>
    <col min="2" max="2" width="11.25" customWidth="1"/>
    <col min="3" max="3" width="11.4140625" customWidth="1"/>
    <col min="4" max="4" width="11.58203125" customWidth="1"/>
    <col min="5" max="5" width="17.6640625" bestFit="1" customWidth="1"/>
    <col min="6" max="6" width="13.9140625" bestFit="1" customWidth="1"/>
    <col min="7" max="7" width="7.4140625" customWidth="1"/>
    <col min="8" max="8" width="11.25" customWidth="1"/>
    <col min="9" max="9" width="11.4140625" customWidth="1"/>
    <col min="10" max="10" width="11.58203125" customWidth="1"/>
    <col min="13" max="13" width="7.4140625" customWidth="1"/>
    <col min="14" max="14" width="11.25" customWidth="1"/>
    <col min="15" max="15" width="11.4140625" customWidth="1"/>
    <col min="16" max="16" width="11.58203125" customWidth="1"/>
    <col min="19" max="19" width="7.4140625" customWidth="1"/>
    <col min="20" max="20" width="11.25" customWidth="1"/>
    <col min="21" max="21" width="11.4140625" customWidth="1"/>
    <col min="22" max="22" width="11.58203125" customWidth="1"/>
  </cols>
  <sheetData>
    <row r="2" spans="1:22">
      <c r="A2" s="88" t="s">
        <v>23</v>
      </c>
      <c r="B2" s="88"/>
      <c r="C2" s="88"/>
      <c r="D2" s="88"/>
      <c r="G2" s="88" t="s">
        <v>21</v>
      </c>
      <c r="H2" s="88"/>
      <c r="I2" s="88"/>
      <c r="J2" s="88"/>
      <c r="M2" s="88" t="s">
        <v>19</v>
      </c>
      <c r="N2" s="88"/>
      <c r="O2" s="88"/>
      <c r="P2" s="88"/>
      <c r="S2" s="88" t="s">
        <v>17</v>
      </c>
      <c r="T2" s="88"/>
      <c r="U2" s="88"/>
      <c r="V2" s="88"/>
    </row>
    <row r="3" spans="1:22">
      <c r="A3" s="81" t="s">
        <v>49</v>
      </c>
      <c r="B3" t="s">
        <v>163</v>
      </c>
      <c r="C3" t="s">
        <v>164</v>
      </c>
      <c r="D3" t="s">
        <v>142</v>
      </c>
      <c r="G3" s="81" t="s">
        <v>49</v>
      </c>
      <c r="H3" t="s">
        <v>163</v>
      </c>
      <c r="I3" t="s">
        <v>164</v>
      </c>
      <c r="J3" t="s">
        <v>142</v>
      </c>
      <c r="M3" s="81" t="s">
        <v>49</v>
      </c>
      <c r="N3" t="s">
        <v>163</v>
      </c>
      <c r="O3" t="s">
        <v>164</v>
      </c>
      <c r="P3" t="s">
        <v>142</v>
      </c>
      <c r="S3" s="81" t="s">
        <v>49</v>
      </c>
      <c r="T3" t="s">
        <v>163</v>
      </c>
      <c r="U3" t="s">
        <v>165</v>
      </c>
      <c r="V3" t="s">
        <v>142</v>
      </c>
    </row>
    <row r="4" spans="1:22">
      <c r="A4" s="82" t="s">
        <v>143</v>
      </c>
      <c r="B4" s="83">
        <v>22.27</v>
      </c>
      <c r="C4" s="83">
        <v>24.18</v>
      </c>
      <c r="D4" s="4">
        <v>8.5765603951504274E-2</v>
      </c>
      <c r="G4" s="82" t="s">
        <v>143</v>
      </c>
      <c r="H4" s="83">
        <v>2.57</v>
      </c>
      <c r="I4" s="83">
        <v>2.6</v>
      </c>
      <c r="J4" s="4">
        <v>1.167315175097286E-2</v>
      </c>
      <c r="M4" s="82" t="s">
        <v>143</v>
      </c>
      <c r="N4" s="83">
        <v>6.1</v>
      </c>
      <c r="O4" s="83">
        <v>6.07</v>
      </c>
      <c r="P4" s="4">
        <v>-4.9180327868851414E-3</v>
      </c>
      <c r="S4" s="82" t="s">
        <v>143</v>
      </c>
      <c r="T4" s="83">
        <v>2.11</v>
      </c>
      <c r="U4" s="83">
        <v>2.06</v>
      </c>
      <c r="V4" s="4">
        <v>-2.3696682464454895E-2</v>
      </c>
    </row>
    <row r="5" spans="1:22">
      <c r="A5" s="82" t="s">
        <v>144</v>
      </c>
      <c r="B5" s="83">
        <v>24.03</v>
      </c>
      <c r="C5" s="83">
        <v>26.88</v>
      </c>
      <c r="D5" s="4">
        <v>0.11860174781523086</v>
      </c>
      <c r="G5" s="82" t="s">
        <v>144</v>
      </c>
      <c r="H5" s="83">
        <v>2.56</v>
      </c>
      <c r="I5" s="83">
        <v>2.46</v>
      </c>
      <c r="J5" s="4">
        <v>-3.9062500000000035E-2</v>
      </c>
      <c r="M5" s="82" t="s">
        <v>144</v>
      </c>
      <c r="N5" s="83">
        <v>5.96</v>
      </c>
      <c r="O5" s="83">
        <v>5.86</v>
      </c>
      <c r="P5" s="4">
        <v>-1.6778523489932827E-2</v>
      </c>
      <c r="S5" s="82" t="s">
        <v>144</v>
      </c>
      <c r="T5" s="83">
        <v>2.0499999999999998</v>
      </c>
      <c r="U5" s="83">
        <v>1.93</v>
      </c>
      <c r="V5" s="4">
        <v>-5.8536585365853606E-2</v>
      </c>
    </row>
    <row r="6" spans="1:22">
      <c r="A6" s="82" t="s">
        <v>145</v>
      </c>
      <c r="B6" s="83">
        <v>26.57</v>
      </c>
      <c r="C6" s="83">
        <v>26.45</v>
      </c>
      <c r="D6" s="4">
        <v>-4.5163718479488517E-3</v>
      </c>
      <c r="G6" s="82" t="s">
        <v>145</v>
      </c>
      <c r="H6" s="83">
        <v>2.42</v>
      </c>
      <c r="I6" s="83">
        <v>2.5099999999999998</v>
      </c>
      <c r="J6" s="4">
        <v>3.7190082644628045E-2</v>
      </c>
      <c r="M6" s="82" t="s">
        <v>145</v>
      </c>
      <c r="N6" s="83">
        <v>5.81</v>
      </c>
      <c r="O6" s="83">
        <v>6.04</v>
      </c>
      <c r="P6" s="4">
        <v>3.9586919104991472E-2</v>
      </c>
      <c r="S6" s="82" t="s">
        <v>145</v>
      </c>
      <c r="T6" s="83">
        <v>1.9</v>
      </c>
      <c r="U6" s="83">
        <v>2.0499999999999998</v>
      </c>
      <c r="V6" s="4">
        <v>7.8947368421052586E-2</v>
      </c>
    </row>
    <row r="7" spans="1:22">
      <c r="A7" s="82" t="s">
        <v>146</v>
      </c>
      <c r="B7" s="83">
        <v>26.48</v>
      </c>
      <c r="C7" s="83">
        <v>25.2</v>
      </c>
      <c r="D7" s="4">
        <v>-4.8338368580060465E-2</v>
      </c>
      <c r="G7" s="82" t="s">
        <v>146</v>
      </c>
      <c r="H7" s="83">
        <v>2.5</v>
      </c>
      <c r="I7" s="83">
        <v>2.41</v>
      </c>
      <c r="J7" s="4">
        <v>-3.5999999999999942E-2</v>
      </c>
      <c r="M7" s="82" t="s">
        <v>146</v>
      </c>
      <c r="N7" s="83">
        <v>6</v>
      </c>
      <c r="O7" s="83">
        <v>5.84</v>
      </c>
      <c r="P7" s="4">
        <v>-2.6666666666666689E-2</v>
      </c>
      <c r="S7" s="82" t="s">
        <v>146</v>
      </c>
      <c r="T7" s="83">
        <v>2.0499999999999998</v>
      </c>
      <c r="U7" s="83">
        <v>1.94</v>
      </c>
      <c r="V7" s="4">
        <v>-5.3658536585365797E-2</v>
      </c>
    </row>
    <row r="8" spans="1:22">
      <c r="A8" s="82" t="s">
        <v>147</v>
      </c>
      <c r="B8" s="83">
        <v>28.55</v>
      </c>
      <c r="C8" s="83">
        <v>28.2</v>
      </c>
      <c r="D8" s="4">
        <v>-1.2259194395796896E-2</v>
      </c>
      <c r="G8" s="82" t="s">
        <v>147</v>
      </c>
      <c r="H8" s="83">
        <v>2.4</v>
      </c>
      <c r="I8" s="83">
        <v>2.4</v>
      </c>
      <c r="J8" s="4">
        <v>0</v>
      </c>
      <c r="M8" s="82" t="s">
        <v>147</v>
      </c>
      <c r="N8" s="83">
        <v>5.87</v>
      </c>
      <c r="O8" s="83">
        <v>5.69</v>
      </c>
      <c r="P8" s="4">
        <v>-3.0664395229982915E-2</v>
      </c>
      <c r="S8" s="82" t="s">
        <v>147</v>
      </c>
      <c r="T8" s="83">
        <v>1.93</v>
      </c>
      <c r="U8" s="83">
        <v>1.87</v>
      </c>
      <c r="V8" s="4">
        <v>-3.1088082901554317E-2</v>
      </c>
    </row>
    <row r="9" spans="1:22">
      <c r="A9" s="82" t="s">
        <v>148</v>
      </c>
      <c r="B9" s="83">
        <v>29.47</v>
      </c>
      <c r="C9" s="83">
        <v>29.79</v>
      </c>
      <c r="D9" s="4">
        <v>1.0858500169664075E-2</v>
      </c>
      <c r="G9" s="82" t="s">
        <v>148</v>
      </c>
      <c r="H9" s="83">
        <v>2.42</v>
      </c>
      <c r="I9" s="83">
        <v>2.29</v>
      </c>
      <c r="J9" s="4">
        <v>-5.371900826446277E-2</v>
      </c>
      <c r="M9" s="82" t="s">
        <v>148</v>
      </c>
      <c r="N9" s="83">
        <v>5.81</v>
      </c>
      <c r="O9" s="83">
        <v>5.87</v>
      </c>
      <c r="P9" s="4">
        <v>1.0327022375215232E-2</v>
      </c>
      <c r="S9" s="82" t="s">
        <v>148</v>
      </c>
      <c r="T9" s="83">
        <v>1.85</v>
      </c>
      <c r="U9" s="83">
        <v>1.81</v>
      </c>
      <c r="V9" s="4">
        <v>-2.162162162162164E-2</v>
      </c>
    </row>
    <row r="10" spans="1:22">
      <c r="A10" s="82" t="s">
        <v>149</v>
      </c>
      <c r="B10" s="83">
        <v>29.5</v>
      </c>
      <c r="C10" s="83">
        <v>28.59</v>
      </c>
      <c r="D10" s="4">
        <v>-3.084745762711865E-2</v>
      </c>
      <c r="G10" s="82" t="s">
        <v>149</v>
      </c>
      <c r="H10" s="83">
        <v>2.27</v>
      </c>
      <c r="I10" s="83">
        <v>2.27</v>
      </c>
      <c r="J10" s="4">
        <v>0</v>
      </c>
      <c r="M10" s="82" t="s">
        <v>149</v>
      </c>
      <c r="N10" s="83">
        <v>5.8</v>
      </c>
      <c r="O10" s="83">
        <v>5.84</v>
      </c>
      <c r="P10" s="4">
        <v>6.896551724137937E-3</v>
      </c>
      <c r="S10" s="82" t="s">
        <v>149</v>
      </c>
      <c r="T10" s="83">
        <v>1.77</v>
      </c>
      <c r="U10" s="83">
        <v>1.75</v>
      </c>
      <c r="V10" s="4">
        <v>-1.1299435028248598E-2</v>
      </c>
    </row>
    <row r="11" spans="1:22">
      <c r="A11" s="82" t="s">
        <v>150</v>
      </c>
      <c r="B11" s="83">
        <v>28.1</v>
      </c>
      <c r="C11" s="83">
        <v>27.43</v>
      </c>
      <c r="D11" s="4">
        <v>-2.3843416370106819E-2</v>
      </c>
      <c r="G11" s="82" t="s">
        <v>150</v>
      </c>
      <c r="H11" s="83">
        <v>2.2799999999999998</v>
      </c>
      <c r="I11" s="83">
        <v>2.21</v>
      </c>
      <c r="J11" s="4">
        <v>-3.0701754385964845E-2</v>
      </c>
      <c r="M11" s="82" t="s">
        <v>150</v>
      </c>
      <c r="N11" s="83">
        <v>5.74</v>
      </c>
      <c r="O11" s="83">
        <v>5.51</v>
      </c>
      <c r="P11" s="4">
        <v>-4.0069686411149899E-2</v>
      </c>
      <c r="S11" s="82" t="s">
        <v>150</v>
      </c>
      <c r="T11" s="83">
        <v>1.72</v>
      </c>
      <c r="U11" s="83">
        <v>1.72</v>
      </c>
      <c r="V11" s="4">
        <v>0</v>
      </c>
    </row>
    <row r="12" spans="1:22">
      <c r="A12" s="82" t="s">
        <v>151</v>
      </c>
      <c r="B12" s="83">
        <v>28.43</v>
      </c>
      <c r="C12" s="83">
        <v>25.52</v>
      </c>
      <c r="D12" s="4">
        <v>-0.10235666549419628</v>
      </c>
      <c r="G12" s="82" t="s">
        <v>151</v>
      </c>
      <c r="H12" s="83">
        <v>2.2200000000000002</v>
      </c>
      <c r="I12" s="83">
        <v>2.2000000000000002</v>
      </c>
      <c r="J12" s="4">
        <v>-9.0090090090090159E-3</v>
      </c>
      <c r="M12" s="82" t="s">
        <v>151</v>
      </c>
      <c r="N12" s="83">
        <v>5.59</v>
      </c>
      <c r="O12" s="83">
        <v>5.73</v>
      </c>
      <c r="P12" s="4">
        <v>2.5044722719141425E-2</v>
      </c>
      <c r="S12" s="82" t="s">
        <v>151</v>
      </c>
      <c r="T12" s="83">
        <v>1.73</v>
      </c>
      <c r="U12" s="83">
        <v>1.66</v>
      </c>
      <c r="V12" s="4">
        <v>-4.0462427745664775E-2</v>
      </c>
    </row>
    <row r="13" spans="1:22">
      <c r="A13" s="82" t="s">
        <v>152</v>
      </c>
      <c r="B13" s="83">
        <v>26.08</v>
      </c>
      <c r="C13" s="83">
        <v>29.06</v>
      </c>
      <c r="D13" s="4">
        <v>0.11426380368098162</v>
      </c>
      <c r="G13" s="82" t="s">
        <v>152</v>
      </c>
      <c r="H13" s="83">
        <v>2.2000000000000002</v>
      </c>
      <c r="I13" s="83">
        <v>2.27</v>
      </c>
      <c r="J13" s="4">
        <v>3.1818181818181746E-2</v>
      </c>
      <c r="M13" s="82" t="s">
        <v>152</v>
      </c>
      <c r="N13" s="83">
        <v>5.8</v>
      </c>
      <c r="O13" s="83">
        <v>5.82</v>
      </c>
      <c r="P13" s="4">
        <v>3.4482758620690453E-3</v>
      </c>
      <c r="S13" s="82" t="s">
        <v>152</v>
      </c>
      <c r="T13" s="83">
        <v>1.67</v>
      </c>
      <c r="U13" s="83">
        <v>1.72</v>
      </c>
      <c r="V13" s="4">
        <v>2.994011976047907E-2</v>
      </c>
    </row>
    <row r="14" spans="1:22">
      <c r="A14" s="82" t="s">
        <v>153</v>
      </c>
      <c r="B14" s="83">
        <v>29.98</v>
      </c>
      <c r="C14" s="83">
        <v>32.36</v>
      </c>
      <c r="D14" s="4">
        <v>7.9386257505003305E-2</v>
      </c>
      <c r="G14" s="82" t="s">
        <v>153</v>
      </c>
      <c r="H14" s="83">
        <v>2.34</v>
      </c>
      <c r="I14" s="83">
        <v>2.41</v>
      </c>
      <c r="J14" s="4">
        <v>2.9914529914530037E-2</v>
      </c>
      <c r="M14" s="82" t="s">
        <v>153</v>
      </c>
      <c r="N14" s="83">
        <v>5.78</v>
      </c>
      <c r="O14" s="83">
        <v>5.85</v>
      </c>
      <c r="P14" s="4">
        <v>1.2110726643598512E-2</v>
      </c>
      <c r="S14" s="82" t="s">
        <v>153</v>
      </c>
      <c r="T14" s="83">
        <v>1.75</v>
      </c>
      <c r="U14" s="83">
        <v>1.77</v>
      </c>
      <c r="V14" s="4">
        <v>1.1428571428571439E-2</v>
      </c>
    </row>
    <row r="15" spans="1:22">
      <c r="A15" s="82" t="s">
        <v>154</v>
      </c>
      <c r="B15" s="83">
        <v>30.8</v>
      </c>
      <c r="C15" s="83">
        <v>33.5</v>
      </c>
      <c r="D15" s="4">
        <v>8.7662337662337636E-2</v>
      </c>
      <c r="G15" s="82" t="s">
        <v>154</v>
      </c>
      <c r="H15" s="83">
        <v>2.37</v>
      </c>
      <c r="I15" s="83">
        <v>2.41</v>
      </c>
      <c r="J15" s="4">
        <v>1.6877637130801704E-2</v>
      </c>
      <c r="M15" s="82" t="s">
        <v>154</v>
      </c>
      <c r="N15" s="83">
        <v>5.75</v>
      </c>
      <c r="O15" s="83">
        <v>5.91</v>
      </c>
      <c r="P15" s="4">
        <v>2.7826086956521764E-2</v>
      </c>
      <c r="S15" s="82" t="s">
        <v>154</v>
      </c>
      <c r="T15" s="83">
        <v>1.72</v>
      </c>
      <c r="U15" s="83">
        <v>1.71</v>
      </c>
      <c r="V15" s="4">
        <v>-5.8139534883720981E-3</v>
      </c>
    </row>
    <row r="16" spans="1:22">
      <c r="A16" s="82" t="s">
        <v>155</v>
      </c>
      <c r="B16" s="83">
        <v>33.94</v>
      </c>
      <c r="C16" s="83">
        <v>31.54</v>
      </c>
      <c r="D16" s="4">
        <v>-7.0713022981732432E-2</v>
      </c>
      <c r="G16" s="82" t="s">
        <v>155</v>
      </c>
      <c r="H16" s="83">
        <v>2.44</v>
      </c>
      <c r="I16" s="83">
        <v>2.37</v>
      </c>
      <c r="J16" s="4">
        <v>-2.8688524590163869E-2</v>
      </c>
      <c r="M16" s="82" t="s">
        <v>155</v>
      </c>
      <c r="N16" s="83">
        <v>5.85</v>
      </c>
      <c r="O16" s="83">
        <v>6.01</v>
      </c>
      <c r="P16" s="4">
        <v>2.7350427350427375E-2</v>
      </c>
      <c r="S16" s="82" t="s">
        <v>155</v>
      </c>
      <c r="T16" s="83">
        <v>1.71</v>
      </c>
      <c r="U16" s="83">
        <v>1.85</v>
      </c>
      <c r="V16" s="4">
        <v>8.1871345029239845E-2</v>
      </c>
    </row>
    <row r="17" spans="1:22">
      <c r="A17" s="82" t="s">
        <v>156</v>
      </c>
      <c r="B17" s="83">
        <v>31.63</v>
      </c>
      <c r="C17" s="83">
        <v>31.6</v>
      </c>
      <c r="D17" s="4">
        <v>-9.4846664558955374E-4</v>
      </c>
      <c r="G17" s="82" t="s">
        <v>156</v>
      </c>
      <c r="H17" s="83">
        <v>2.35</v>
      </c>
      <c r="I17" s="83">
        <v>2.2999999999999998</v>
      </c>
      <c r="J17" s="4">
        <v>-2.1276595744680965E-2</v>
      </c>
      <c r="M17" s="82" t="s">
        <v>156</v>
      </c>
      <c r="N17" s="83">
        <v>6</v>
      </c>
      <c r="O17" s="83">
        <v>6.04</v>
      </c>
      <c r="P17" s="4">
        <v>6.6666666666666723E-3</v>
      </c>
      <c r="S17" s="82" t="s">
        <v>156</v>
      </c>
      <c r="T17" s="83">
        <v>1.82</v>
      </c>
      <c r="U17" s="83">
        <v>1.8</v>
      </c>
      <c r="V17" s="4">
        <v>-1.0989010989010999E-2</v>
      </c>
    </row>
    <row r="18" spans="1:22">
      <c r="A18" s="82" t="s">
        <v>157</v>
      </c>
      <c r="B18" s="83">
        <v>34.049999999999997</v>
      </c>
      <c r="C18" s="83">
        <v>32.75</v>
      </c>
      <c r="D18" s="4">
        <v>-3.8179148311306824E-2</v>
      </c>
      <c r="G18" s="82" t="s">
        <v>157</v>
      </c>
      <c r="H18" s="83">
        <v>2.41</v>
      </c>
      <c r="I18" s="83">
        <v>2.33</v>
      </c>
      <c r="J18" s="4">
        <v>-3.3195020746887995E-2</v>
      </c>
      <c r="M18" s="82" t="s">
        <v>157</v>
      </c>
      <c r="N18" s="83">
        <v>6.3</v>
      </c>
      <c r="O18" s="83">
        <v>5.53</v>
      </c>
      <c r="P18" s="4">
        <v>-0.12222222222222216</v>
      </c>
      <c r="S18" s="82" t="s">
        <v>157</v>
      </c>
      <c r="T18" s="83">
        <v>1.94</v>
      </c>
      <c r="U18" s="83">
        <v>1.91</v>
      </c>
      <c r="V18" s="4">
        <v>-1.546391752577321E-2</v>
      </c>
    </row>
    <row r="19" spans="1:22">
      <c r="A19" s="82" t="s">
        <v>158</v>
      </c>
      <c r="B19" s="83">
        <v>32.74</v>
      </c>
      <c r="C19" s="83">
        <v>29.46</v>
      </c>
      <c r="D19" s="4">
        <v>-0.10018326206475263</v>
      </c>
      <c r="G19" s="82" t="s">
        <v>158</v>
      </c>
      <c r="H19" s="83">
        <v>2.31</v>
      </c>
      <c r="I19" s="83">
        <v>2.3199999999999998</v>
      </c>
      <c r="J19" s="4">
        <v>4.3290043290042362E-3</v>
      </c>
      <c r="M19" s="82" t="s">
        <v>158</v>
      </c>
      <c r="N19" s="83">
        <v>5.61</v>
      </c>
      <c r="O19" s="83">
        <v>5.6</v>
      </c>
      <c r="P19" s="4">
        <v>-1.7825311942960204E-3</v>
      </c>
      <c r="S19" s="82" t="s">
        <v>158</v>
      </c>
      <c r="T19" s="83">
        <v>1.88</v>
      </c>
      <c r="U19" s="83">
        <v>2</v>
      </c>
      <c r="V19" s="4">
        <v>6.3829787234042618E-2</v>
      </c>
    </row>
    <row r="20" spans="1:22">
      <c r="A20" s="82" t="s">
        <v>159</v>
      </c>
      <c r="B20" s="83">
        <v>30.02</v>
      </c>
      <c r="C20" s="83">
        <v>23.07</v>
      </c>
      <c r="D20" s="4">
        <v>-0.23151232511658892</v>
      </c>
      <c r="G20" s="82" t="s">
        <v>159</v>
      </c>
      <c r="H20" s="83">
        <v>2.34</v>
      </c>
      <c r="I20" s="83">
        <v>2.27</v>
      </c>
      <c r="J20" s="4">
        <v>-2.9914529914529846E-2</v>
      </c>
      <c r="M20" s="82" t="s">
        <v>159</v>
      </c>
      <c r="N20" s="83">
        <v>5.61</v>
      </c>
      <c r="O20" s="83">
        <v>5.36</v>
      </c>
      <c r="P20" s="4">
        <v>-4.4563279857397504E-2</v>
      </c>
      <c r="S20" s="82" t="s">
        <v>159</v>
      </c>
      <c r="T20" s="83">
        <v>2.0299999999999998</v>
      </c>
      <c r="U20" s="83">
        <v>1.94</v>
      </c>
      <c r="V20" s="4">
        <v>-4.433497536945806E-2</v>
      </c>
    </row>
    <row r="21" spans="1:22">
      <c r="A21" s="82" t="s">
        <v>160</v>
      </c>
      <c r="B21" s="83">
        <v>23.1</v>
      </c>
      <c r="C21" s="83">
        <v>24.37</v>
      </c>
      <c r="D21" s="4">
        <v>5.497835497835496E-2</v>
      </c>
      <c r="G21" s="82" t="s">
        <v>160</v>
      </c>
      <c r="H21" s="83">
        <v>2.29</v>
      </c>
      <c r="I21" s="83">
        <v>2.38</v>
      </c>
      <c r="J21" s="4">
        <v>3.9301310043668061E-2</v>
      </c>
      <c r="M21" s="82" t="s">
        <v>160</v>
      </c>
      <c r="N21" s="83">
        <v>5.34</v>
      </c>
      <c r="O21" s="83">
        <v>5.75</v>
      </c>
      <c r="P21" s="4">
        <v>7.6779026217228499E-2</v>
      </c>
      <c r="S21" s="82" t="s">
        <v>160</v>
      </c>
      <c r="T21" s="83">
        <v>1.9</v>
      </c>
      <c r="U21" s="83">
        <v>1.93</v>
      </c>
      <c r="V21" s="4">
        <v>1.5789473684210541E-2</v>
      </c>
    </row>
    <row r="22" spans="1:22">
      <c r="A22" s="82" t="s">
        <v>161</v>
      </c>
      <c r="B22" s="83">
        <v>24.52</v>
      </c>
      <c r="C22" s="83">
        <v>20.95</v>
      </c>
      <c r="D22" s="4">
        <v>-0.14559543230016314</v>
      </c>
      <c r="G22" s="82" t="s">
        <v>161</v>
      </c>
      <c r="H22" s="83">
        <v>2.4500000000000002</v>
      </c>
      <c r="I22" s="83">
        <v>2.4700000000000002</v>
      </c>
      <c r="J22" s="4">
        <v>8.1632653061224549E-3</v>
      </c>
      <c r="M22" s="82" t="s">
        <v>161</v>
      </c>
      <c r="N22" s="83">
        <v>5.74</v>
      </c>
      <c r="O22" s="83">
        <v>5.94</v>
      </c>
      <c r="P22" s="4">
        <v>3.4843205574912925E-2</v>
      </c>
      <c r="S22" s="82" t="s">
        <v>161</v>
      </c>
      <c r="T22" s="83">
        <v>1.98</v>
      </c>
      <c r="U22" s="83">
        <v>2.0499999999999998</v>
      </c>
      <c r="V22" s="4">
        <v>3.5353535353535276E-2</v>
      </c>
    </row>
    <row r="23" spans="1:22">
      <c r="A23" s="82" t="s">
        <v>162</v>
      </c>
      <c r="B23" s="83">
        <v>21.76</v>
      </c>
      <c r="C23" s="83">
        <v>23.38</v>
      </c>
      <c r="D23" s="4">
        <v>7.444852941176458E-2</v>
      </c>
      <c r="G23" s="82" t="s">
        <v>162</v>
      </c>
      <c r="H23" s="83">
        <v>2.4900000000000002</v>
      </c>
      <c r="I23" s="83">
        <v>2.59</v>
      </c>
      <c r="J23" s="4">
        <v>4.0160642570280979E-2</v>
      </c>
      <c r="M23" s="82" t="s">
        <v>162</v>
      </c>
      <c r="N23" s="83">
        <v>6.03</v>
      </c>
      <c r="O23" s="83">
        <v>6.15</v>
      </c>
      <c r="P23" s="4">
        <v>1.9900497512437828E-2</v>
      </c>
      <c r="S23" s="82" t="s">
        <v>162</v>
      </c>
      <c r="T23" s="83">
        <v>2.0499999999999998</v>
      </c>
      <c r="U23" s="83">
        <v>2.06</v>
      </c>
      <c r="V23" s="4">
        <v>4.8780487804879176E-3</v>
      </c>
    </row>
    <row r="28" spans="1:22">
      <c r="A28" s="88" t="s">
        <v>15</v>
      </c>
      <c r="B28" s="88"/>
      <c r="C28" s="88"/>
      <c r="D28" s="88"/>
      <c r="G28" s="88" t="s">
        <v>13</v>
      </c>
      <c r="H28" s="88"/>
      <c r="I28" s="88"/>
      <c r="J28" s="88"/>
      <c r="M28" s="88" t="s">
        <v>11</v>
      </c>
      <c r="N28" s="88"/>
      <c r="O28" s="88"/>
      <c r="P28" s="88"/>
      <c r="S28" s="88" t="s">
        <v>9</v>
      </c>
      <c r="T28" s="88"/>
      <c r="U28" s="88"/>
      <c r="V28" s="88"/>
    </row>
    <row r="29" spans="1:22">
      <c r="A29" s="81" t="s">
        <v>49</v>
      </c>
      <c r="B29" t="s">
        <v>163</v>
      </c>
      <c r="C29" t="s">
        <v>164</v>
      </c>
      <c r="D29" t="s">
        <v>142</v>
      </c>
      <c r="G29" s="81" t="s">
        <v>49</v>
      </c>
      <c r="H29" t="s">
        <v>163</v>
      </c>
      <c r="I29" t="s">
        <v>164</v>
      </c>
      <c r="J29" t="s">
        <v>142</v>
      </c>
      <c r="M29" s="81" t="s">
        <v>49</v>
      </c>
      <c r="N29" t="s">
        <v>163</v>
      </c>
      <c r="O29" t="s">
        <v>164</v>
      </c>
      <c r="P29" t="s">
        <v>142</v>
      </c>
      <c r="S29" s="81" t="s">
        <v>49</v>
      </c>
      <c r="T29" t="s">
        <v>163</v>
      </c>
      <c r="U29" t="s">
        <v>164</v>
      </c>
      <c r="V29" t="s">
        <v>142</v>
      </c>
    </row>
    <row r="30" spans="1:22">
      <c r="A30" s="82" t="s">
        <v>143</v>
      </c>
      <c r="B30" s="83">
        <v>2.56</v>
      </c>
      <c r="C30" s="83">
        <v>2.68</v>
      </c>
      <c r="D30" s="4">
        <v>4.6875000000000042E-2</v>
      </c>
      <c r="G30" s="82" t="s">
        <v>143</v>
      </c>
      <c r="H30" s="83">
        <v>12.93</v>
      </c>
      <c r="I30" s="83">
        <v>13.29</v>
      </c>
      <c r="J30" s="4">
        <v>2.7842227378190212E-2</v>
      </c>
      <c r="M30" s="82" t="s">
        <v>143</v>
      </c>
      <c r="N30" s="83">
        <v>10.94</v>
      </c>
      <c r="O30" s="83">
        <v>10.9</v>
      </c>
      <c r="P30" s="4">
        <v>-3.6563071297988255E-3</v>
      </c>
      <c r="S30" s="82" t="s">
        <v>143</v>
      </c>
      <c r="T30" s="83">
        <v>74.430000000000007</v>
      </c>
      <c r="U30" s="83">
        <v>75.28</v>
      </c>
      <c r="V30" s="4">
        <v>1.1420126293161283E-2</v>
      </c>
    </row>
    <row r="31" spans="1:22">
      <c r="A31" s="82" t="s">
        <v>144</v>
      </c>
      <c r="B31" s="83">
        <v>2.64</v>
      </c>
      <c r="C31" s="83">
        <v>2.61</v>
      </c>
      <c r="D31" s="4">
        <v>-1.1363636363636458E-2</v>
      </c>
      <c r="G31" s="82" t="s">
        <v>144</v>
      </c>
      <c r="H31" s="83">
        <v>13.37</v>
      </c>
      <c r="I31" s="83">
        <v>12.79</v>
      </c>
      <c r="J31" s="4">
        <v>-4.3380703066566946E-2</v>
      </c>
      <c r="M31" s="82" t="s">
        <v>144</v>
      </c>
      <c r="N31" s="83">
        <v>10.66</v>
      </c>
      <c r="O31" s="83">
        <v>10.59</v>
      </c>
      <c r="P31" s="4">
        <v>-6.5666041275797638E-3</v>
      </c>
      <c r="S31" s="82" t="s">
        <v>144</v>
      </c>
      <c r="T31" s="83">
        <v>74.239999999999995</v>
      </c>
      <c r="U31" s="83">
        <v>73.97</v>
      </c>
      <c r="V31" s="4">
        <v>-3.6368534482758086E-3</v>
      </c>
    </row>
    <row r="32" spans="1:22">
      <c r="A32" s="82" t="s">
        <v>145</v>
      </c>
      <c r="B32" s="83">
        <v>2.5099999999999998</v>
      </c>
      <c r="C32" s="83">
        <v>2.48</v>
      </c>
      <c r="D32" s="4">
        <v>-1.1952191235059684E-2</v>
      </c>
      <c r="G32" s="82" t="s">
        <v>145</v>
      </c>
      <c r="H32" s="83">
        <v>12.52</v>
      </c>
      <c r="I32" s="83">
        <v>13.08</v>
      </c>
      <c r="J32" s="4">
        <v>4.4728434504792372E-2</v>
      </c>
      <c r="M32" s="82" t="s">
        <v>145</v>
      </c>
      <c r="N32" s="83">
        <v>10.31</v>
      </c>
      <c r="O32" s="83">
        <v>10.46</v>
      </c>
      <c r="P32" s="4">
        <v>1.4548981571290044E-2</v>
      </c>
      <c r="S32" s="82" t="s">
        <v>145</v>
      </c>
      <c r="T32" s="83">
        <v>73.8</v>
      </c>
      <c r="U32" s="83">
        <v>74.73</v>
      </c>
      <c r="V32" s="4">
        <v>1.2601626016260255E-2</v>
      </c>
    </row>
    <row r="33" spans="1:22">
      <c r="A33" s="82" t="s">
        <v>146</v>
      </c>
      <c r="B33" s="83">
        <v>2.4700000000000002</v>
      </c>
      <c r="C33" s="83">
        <v>2.41</v>
      </c>
      <c r="D33" s="4">
        <v>-2.4291497975708523E-2</v>
      </c>
      <c r="G33" s="82" t="s">
        <v>146</v>
      </c>
      <c r="H33" s="83">
        <v>13.05</v>
      </c>
      <c r="I33" s="83">
        <v>12.22</v>
      </c>
      <c r="J33" s="4">
        <v>-6.3601532567049812E-2</v>
      </c>
      <c r="M33" s="82" t="s">
        <v>146</v>
      </c>
      <c r="N33" s="83">
        <v>10.42</v>
      </c>
      <c r="O33" s="83">
        <v>9.6999999999999993</v>
      </c>
      <c r="P33" s="4">
        <v>-6.9097888675623859E-2</v>
      </c>
      <c r="S33" s="82" t="s">
        <v>146</v>
      </c>
      <c r="T33" s="83">
        <v>74.36</v>
      </c>
      <c r="U33" s="83">
        <v>73.849999999999994</v>
      </c>
      <c r="V33" s="4">
        <v>-6.858526089295389E-3</v>
      </c>
    </row>
    <row r="34" spans="1:22">
      <c r="A34" s="82" t="s">
        <v>147</v>
      </c>
      <c r="B34" s="83">
        <v>2.4700000000000002</v>
      </c>
      <c r="C34" s="83">
        <v>2.46</v>
      </c>
      <c r="D34" s="4">
        <v>-4.0485829959515099E-3</v>
      </c>
      <c r="G34" s="82" t="s">
        <v>147</v>
      </c>
      <c r="H34" s="83">
        <v>12.42</v>
      </c>
      <c r="I34" s="83">
        <v>12.75</v>
      </c>
      <c r="J34" s="4">
        <v>2.6570048309178751E-2</v>
      </c>
      <c r="M34" s="82" t="s">
        <v>147</v>
      </c>
      <c r="N34" s="83">
        <v>9.99</v>
      </c>
      <c r="O34" s="83">
        <v>9.99</v>
      </c>
      <c r="P34" s="4">
        <v>0</v>
      </c>
      <c r="S34" s="82" t="s">
        <v>147</v>
      </c>
      <c r="T34" s="83">
        <v>74.31</v>
      </c>
      <c r="U34" s="83">
        <v>72.37</v>
      </c>
      <c r="V34" s="4">
        <v>-2.6106849683757202E-2</v>
      </c>
    </row>
    <row r="35" spans="1:22">
      <c r="A35" s="82" t="s">
        <v>148</v>
      </c>
      <c r="B35" s="83">
        <v>2.5</v>
      </c>
      <c r="C35" s="83">
        <v>2.54</v>
      </c>
      <c r="D35" s="4">
        <v>1.6000000000000014E-2</v>
      </c>
      <c r="G35" s="82" t="s">
        <v>148</v>
      </c>
      <c r="H35" s="83">
        <v>12.95</v>
      </c>
      <c r="I35" s="83">
        <v>13.04</v>
      </c>
      <c r="J35" s="4">
        <v>6.949806949806939E-3</v>
      </c>
      <c r="M35" s="82" t="s">
        <v>148</v>
      </c>
      <c r="N35" s="83">
        <v>10.1</v>
      </c>
      <c r="O35" s="83">
        <v>10.47</v>
      </c>
      <c r="P35" s="4">
        <v>3.6633663366336736E-2</v>
      </c>
      <c r="S35" s="82" t="s">
        <v>148</v>
      </c>
      <c r="T35" s="83">
        <v>74.790000000000006</v>
      </c>
      <c r="U35" s="83">
        <v>69.28</v>
      </c>
      <c r="V35" s="4">
        <v>-7.3672950929268677E-2</v>
      </c>
    </row>
    <row r="36" spans="1:22">
      <c r="A36" s="82" t="s">
        <v>149</v>
      </c>
      <c r="B36" s="83">
        <v>2.4900000000000002</v>
      </c>
      <c r="C36" s="83">
        <v>2.4500000000000002</v>
      </c>
      <c r="D36" s="4">
        <v>-1.6064257028112462E-2</v>
      </c>
      <c r="G36" s="82" t="s">
        <v>149</v>
      </c>
      <c r="H36" s="83">
        <v>12.74</v>
      </c>
      <c r="I36" s="83">
        <v>12.4</v>
      </c>
      <c r="J36" s="4">
        <v>-2.6687598116169532E-2</v>
      </c>
      <c r="M36" s="82" t="s">
        <v>149</v>
      </c>
      <c r="N36" s="83">
        <v>10.220000000000001</v>
      </c>
      <c r="O36" s="83">
        <v>9.7200000000000006</v>
      </c>
      <c r="P36" s="4">
        <v>-4.8923679060665359E-2</v>
      </c>
      <c r="S36" s="82" t="s">
        <v>149</v>
      </c>
      <c r="T36" s="83">
        <v>68.55</v>
      </c>
      <c r="U36" s="83">
        <v>69.38</v>
      </c>
      <c r="V36" s="4">
        <v>1.2107950401167007E-2</v>
      </c>
    </row>
    <row r="37" spans="1:22">
      <c r="A37" s="82" t="s">
        <v>150</v>
      </c>
      <c r="B37" s="83">
        <v>2.41</v>
      </c>
      <c r="C37" s="83">
        <v>2.39</v>
      </c>
      <c r="D37" s="4">
        <v>-8.2987551867219986E-3</v>
      </c>
      <c r="G37" s="82" t="s">
        <v>150</v>
      </c>
      <c r="H37" s="83">
        <v>12.19</v>
      </c>
      <c r="I37" s="83">
        <v>12.6</v>
      </c>
      <c r="J37" s="4">
        <v>3.3634126333059899E-2</v>
      </c>
      <c r="M37" s="82" t="s">
        <v>150</v>
      </c>
      <c r="N37" s="83">
        <v>9.41</v>
      </c>
      <c r="O37" s="83">
        <v>8.75</v>
      </c>
      <c r="P37" s="4">
        <v>-7.013815090329438E-2</v>
      </c>
      <c r="S37" s="82" t="s">
        <v>150</v>
      </c>
      <c r="T37" s="83">
        <v>67.75</v>
      </c>
      <c r="U37" s="83">
        <v>66.47</v>
      </c>
      <c r="V37" s="4">
        <v>-1.8892988929889314E-2</v>
      </c>
    </row>
    <row r="38" spans="1:22">
      <c r="A38" s="82" t="s">
        <v>151</v>
      </c>
      <c r="B38" s="83">
        <v>2.42</v>
      </c>
      <c r="C38" s="83">
        <v>2.2999999999999998</v>
      </c>
      <c r="D38" s="4">
        <v>-4.9586776859504175E-2</v>
      </c>
      <c r="G38" s="82" t="s">
        <v>151</v>
      </c>
      <c r="H38" s="83">
        <v>12.89</v>
      </c>
      <c r="I38" s="83">
        <v>12.14</v>
      </c>
      <c r="J38" s="4">
        <v>-5.8184639255236613E-2</v>
      </c>
      <c r="M38" s="82" t="s">
        <v>151</v>
      </c>
      <c r="N38" s="83">
        <v>8.7899999999999991</v>
      </c>
      <c r="O38" s="83">
        <v>8.25</v>
      </c>
      <c r="P38" s="4">
        <v>-6.1433447098976017E-2</v>
      </c>
      <c r="S38" s="82" t="s">
        <v>151</v>
      </c>
      <c r="T38" s="83">
        <v>67.010000000000005</v>
      </c>
      <c r="U38" s="83">
        <v>67.88</v>
      </c>
      <c r="V38" s="4">
        <v>1.2983136845246834E-2</v>
      </c>
    </row>
    <row r="39" spans="1:22">
      <c r="A39" s="82" t="s">
        <v>152</v>
      </c>
      <c r="B39" s="83">
        <v>2.3199999999999998</v>
      </c>
      <c r="C39" s="83">
        <v>2.42</v>
      </c>
      <c r="D39" s="4">
        <v>4.3103448275862113E-2</v>
      </c>
      <c r="G39" s="82" t="s">
        <v>152</v>
      </c>
      <c r="H39" s="83">
        <v>12.53</v>
      </c>
      <c r="I39" s="83">
        <v>13.56</v>
      </c>
      <c r="J39" s="4">
        <v>8.220271348762978E-2</v>
      </c>
      <c r="M39" s="82" t="s">
        <v>152</v>
      </c>
      <c r="N39" s="83">
        <v>8.4700000000000006</v>
      </c>
      <c r="O39" s="83">
        <v>8.84</v>
      </c>
      <c r="P39" s="4">
        <v>4.3683589138134499E-2</v>
      </c>
      <c r="S39" s="82" t="s">
        <v>152</v>
      </c>
      <c r="T39" s="83">
        <v>68.900000000000006</v>
      </c>
      <c r="U39" s="83">
        <v>69.11</v>
      </c>
      <c r="V39" s="4">
        <v>3.0478955007255983E-3</v>
      </c>
    </row>
    <row r="40" spans="1:22">
      <c r="A40" s="82" t="s">
        <v>153</v>
      </c>
      <c r="B40" s="83">
        <v>2.44</v>
      </c>
      <c r="C40" s="83">
        <v>2.41</v>
      </c>
      <c r="D40" s="4">
        <v>-1.2295081967213035E-2</v>
      </c>
      <c r="G40" s="82" t="s">
        <v>153</v>
      </c>
      <c r="H40" s="83">
        <v>13.8</v>
      </c>
      <c r="I40" s="83">
        <v>14.15</v>
      </c>
      <c r="J40" s="4">
        <v>2.5362318840579684E-2</v>
      </c>
      <c r="M40" s="82" t="s">
        <v>153</v>
      </c>
      <c r="N40" s="83">
        <v>8.94</v>
      </c>
      <c r="O40" s="83">
        <v>8.83</v>
      </c>
      <c r="P40" s="4">
        <v>-1.2304250559284054E-2</v>
      </c>
      <c r="S40" s="82" t="s">
        <v>153</v>
      </c>
      <c r="T40" s="83">
        <v>69.95</v>
      </c>
      <c r="U40" s="83">
        <v>68.099999999999994</v>
      </c>
      <c r="V40" s="4">
        <v>-2.6447462473195259E-2</v>
      </c>
    </row>
    <row r="41" spans="1:22">
      <c r="A41" s="82" t="s">
        <v>154</v>
      </c>
      <c r="B41" s="83">
        <v>2.35</v>
      </c>
      <c r="C41" s="83">
        <v>2.48</v>
      </c>
      <c r="D41" s="4">
        <v>5.5319148936170168E-2</v>
      </c>
      <c r="G41" s="82" t="s">
        <v>154</v>
      </c>
      <c r="H41" s="83">
        <v>13.63</v>
      </c>
      <c r="I41" s="83">
        <v>13.5</v>
      </c>
      <c r="J41" s="4">
        <v>-9.537784299339748E-3</v>
      </c>
      <c r="M41" s="82" t="s">
        <v>154</v>
      </c>
      <c r="N41" s="83">
        <v>8.39</v>
      </c>
      <c r="O41" s="83">
        <v>8.66</v>
      </c>
      <c r="P41" s="4">
        <v>3.2181168057210913E-2</v>
      </c>
      <c r="S41" s="82" t="s">
        <v>154</v>
      </c>
      <c r="T41" s="83">
        <v>68.099999999999994</v>
      </c>
      <c r="U41" s="83">
        <v>68.34</v>
      </c>
      <c r="V41" s="4">
        <v>3.5242290748900016E-3</v>
      </c>
    </row>
    <row r="42" spans="1:22">
      <c r="A42" s="82" t="s">
        <v>155</v>
      </c>
      <c r="B42" s="83">
        <v>2.5</v>
      </c>
      <c r="C42" s="83">
        <v>2.5299999999999998</v>
      </c>
      <c r="D42" s="4">
        <v>1.1999999999999922E-2</v>
      </c>
      <c r="G42" s="82" t="s">
        <v>155</v>
      </c>
      <c r="H42" s="83">
        <v>13.42</v>
      </c>
      <c r="I42" s="83">
        <v>13.23</v>
      </c>
      <c r="J42" s="4">
        <v>-1.4157973174366579E-2</v>
      </c>
      <c r="M42" s="82" t="s">
        <v>155</v>
      </c>
      <c r="N42" s="83">
        <v>8.67</v>
      </c>
      <c r="O42" s="83">
        <v>9.07</v>
      </c>
      <c r="P42" s="4">
        <v>4.6136101499423342E-2</v>
      </c>
      <c r="S42" s="82" t="s">
        <v>155</v>
      </c>
      <c r="T42" s="83">
        <v>68.34</v>
      </c>
      <c r="U42" s="83">
        <v>67.7</v>
      </c>
      <c r="V42" s="4">
        <v>-9.3649400058530962E-3</v>
      </c>
    </row>
    <row r="43" spans="1:22">
      <c r="A43" s="82" t="s">
        <v>156</v>
      </c>
      <c r="B43" s="83">
        <v>2.5099999999999998</v>
      </c>
      <c r="C43" s="83">
        <v>2.4</v>
      </c>
      <c r="D43" s="4">
        <v>-4.3824701195219078E-2</v>
      </c>
      <c r="G43" s="82" t="s">
        <v>156</v>
      </c>
      <c r="H43" s="83">
        <v>13.05</v>
      </c>
      <c r="I43" s="83">
        <v>13.22</v>
      </c>
      <c r="J43" s="4">
        <v>1.3026819923371642E-2</v>
      </c>
      <c r="M43" s="82" t="s">
        <v>156</v>
      </c>
      <c r="N43" s="83">
        <v>8.8800000000000008</v>
      </c>
      <c r="O43" s="83">
        <v>8.81</v>
      </c>
      <c r="P43" s="4">
        <v>-7.8828828828829134E-3</v>
      </c>
      <c r="S43" s="82" t="s">
        <v>156</v>
      </c>
      <c r="T43" s="83">
        <v>67.069999999999993</v>
      </c>
      <c r="U43" s="83">
        <v>66.709999999999994</v>
      </c>
      <c r="V43" s="4">
        <v>-5.3675264648874229E-3</v>
      </c>
    </row>
    <row r="44" spans="1:22">
      <c r="A44" s="82" t="s">
        <v>157</v>
      </c>
      <c r="B44" s="83">
        <v>2.5499999999999998</v>
      </c>
      <c r="C44" s="83">
        <v>2.6</v>
      </c>
      <c r="D44" s="4">
        <v>1.9607843137255009E-2</v>
      </c>
      <c r="G44" s="82" t="s">
        <v>157</v>
      </c>
      <c r="H44" s="83">
        <v>14.34</v>
      </c>
      <c r="I44" s="83">
        <v>13.87</v>
      </c>
      <c r="J44" s="4">
        <v>-3.2775453277545372E-2</v>
      </c>
      <c r="M44" s="82" t="s">
        <v>157</v>
      </c>
      <c r="N44" s="83">
        <v>9.5399999999999991</v>
      </c>
      <c r="O44" s="83">
        <v>9.68</v>
      </c>
      <c r="P44" s="4">
        <v>1.4675052410901529E-2</v>
      </c>
      <c r="S44" s="82" t="s">
        <v>157</v>
      </c>
      <c r="T44" s="83">
        <v>69.260000000000005</v>
      </c>
      <c r="U44" s="83">
        <v>65.64</v>
      </c>
      <c r="V44" s="4">
        <v>-5.226682067571476E-2</v>
      </c>
    </row>
    <row r="45" spans="1:22">
      <c r="A45" s="82" t="s">
        <v>158</v>
      </c>
      <c r="B45" s="83">
        <v>2.58</v>
      </c>
      <c r="C45" s="83">
        <v>2.64</v>
      </c>
      <c r="D45" s="4">
        <v>2.3255813953488393E-2</v>
      </c>
      <c r="G45" s="82" t="s">
        <v>158</v>
      </c>
      <c r="H45" s="83">
        <v>13.7</v>
      </c>
      <c r="I45" s="83">
        <v>13.33</v>
      </c>
      <c r="J45" s="4">
        <v>-2.7007299270072938E-2</v>
      </c>
      <c r="M45" s="82" t="s">
        <v>158</v>
      </c>
      <c r="N45" s="83">
        <v>9.4</v>
      </c>
      <c r="O45" s="83">
        <v>9.73</v>
      </c>
      <c r="P45" s="4">
        <v>3.5106382978723413E-2</v>
      </c>
      <c r="S45" s="82" t="s">
        <v>158</v>
      </c>
      <c r="T45" s="83">
        <v>64.709999999999994</v>
      </c>
      <c r="U45" s="83">
        <v>62.39</v>
      </c>
      <c r="V45" s="4">
        <v>-3.5852263946839644E-2</v>
      </c>
    </row>
    <row r="46" spans="1:22">
      <c r="A46" s="82" t="s">
        <v>159</v>
      </c>
      <c r="B46" s="83">
        <v>2.67</v>
      </c>
      <c r="C46" s="83">
        <v>2.81</v>
      </c>
      <c r="D46" s="4">
        <v>5.2434456928838996E-2</v>
      </c>
      <c r="G46" s="82" t="s">
        <v>159</v>
      </c>
      <c r="H46" s="83">
        <v>13.4</v>
      </c>
      <c r="I46" s="83">
        <v>13.28</v>
      </c>
      <c r="J46" s="4">
        <v>-8.9552238805970883E-3</v>
      </c>
      <c r="M46" s="82" t="s">
        <v>159</v>
      </c>
      <c r="N46" s="83">
        <v>9.8000000000000007</v>
      </c>
      <c r="O46" s="83">
        <v>9.42</v>
      </c>
      <c r="P46" s="4">
        <v>-3.8775510204081709E-2</v>
      </c>
      <c r="S46" s="82" t="s">
        <v>159</v>
      </c>
      <c r="T46" s="83">
        <v>62.5</v>
      </c>
      <c r="U46" s="83">
        <v>58.81</v>
      </c>
      <c r="V46" s="4">
        <v>-5.9039999999999961E-2</v>
      </c>
    </row>
    <row r="47" spans="1:22">
      <c r="A47" s="82" t="s">
        <v>160</v>
      </c>
      <c r="B47" s="83">
        <v>2.78</v>
      </c>
      <c r="C47" s="83">
        <v>2.7</v>
      </c>
      <c r="D47" s="4">
        <v>-2.8776978417266053E-2</v>
      </c>
      <c r="G47" s="82" t="s">
        <v>160</v>
      </c>
      <c r="H47" s="83">
        <v>13.09</v>
      </c>
      <c r="I47" s="83">
        <v>12.76</v>
      </c>
      <c r="J47" s="4">
        <v>-2.5210084033613449E-2</v>
      </c>
      <c r="M47" s="82" t="s">
        <v>160</v>
      </c>
      <c r="N47" s="83">
        <v>9.25</v>
      </c>
      <c r="O47" s="83">
        <v>9.65</v>
      </c>
      <c r="P47" s="4">
        <v>4.324324324324328E-2</v>
      </c>
      <c r="S47" s="82" t="s">
        <v>160</v>
      </c>
      <c r="T47" s="83">
        <v>58.92</v>
      </c>
      <c r="U47" s="83">
        <v>63.55</v>
      </c>
      <c r="V47" s="4">
        <v>7.8581126951798974E-2</v>
      </c>
    </row>
    <row r="48" spans="1:22">
      <c r="A48" s="82" t="s">
        <v>161</v>
      </c>
      <c r="B48" s="83">
        <v>2.81</v>
      </c>
      <c r="C48" s="83">
        <v>2.86</v>
      </c>
      <c r="D48" s="4">
        <v>1.7793594306049758E-2</v>
      </c>
      <c r="G48" s="82" t="s">
        <v>161</v>
      </c>
      <c r="H48" s="83">
        <v>13.05</v>
      </c>
      <c r="I48" s="83">
        <v>12.45</v>
      </c>
      <c r="J48" s="4">
        <v>-4.5977011494252977E-2</v>
      </c>
      <c r="M48" s="82" t="s">
        <v>161</v>
      </c>
      <c r="N48" s="83">
        <v>10</v>
      </c>
      <c r="O48" s="83">
        <v>10.35</v>
      </c>
      <c r="P48" s="4">
        <v>3.4999999999999962E-2</v>
      </c>
      <c r="S48" s="82" t="s">
        <v>161</v>
      </c>
      <c r="T48" s="83">
        <v>63.55</v>
      </c>
      <c r="U48" s="83">
        <v>61.69</v>
      </c>
      <c r="V48" s="4">
        <v>-2.9268292682926821E-2</v>
      </c>
    </row>
    <row r="49" spans="1:22">
      <c r="A49" s="82" t="s">
        <v>162</v>
      </c>
      <c r="B49" s="83">
        <v>2.98</v>
      </c>
      <c r="C49" s="83">
        <v>3.07</v>
      </c>
      <c r="D49" s="4">
        <v>3.0201342281879148E-2</v>
      </c>
      <c r="G49" s="82" t="s">
        <v>162</v>
      </c>
      <c r="H49" s="83">
        <v>12.59</v>
      </c>
      <c r="I49" s="83">
        <v>12.1</v>
      </c>
      <c r="J49" s="4">
        <v>-3.8919777601270869E-2</v>
      </c>
      <c r="M49" s="82" t="s">
        <v>162</v>
      </c>
      <c r="N49" s="83">
        <v>10.52</v>
      </c>
      <c r="O49" s="83">
        <v>10.75</v>
      </c>
      <c r="P49" s="4">
        <v>2.1863117870722475E-2</v>
      </c>
      <c r="S49" s="82" t="s">
        <v>162</v>
      </c>
      <c r="T49" s="83">
        <v>64.400000000000006</v>
      </c>
      <c r="U49" s="83">
        <v>65.430000000000007</v>
      </c>
      <c r="V49" s="4">
        <v>1.5993788819875794E-2</v>
      </c>
    </row>
    <row r="53" spans="1:22">
      <c r="A53" s="88" t="s">
        <v>7</v>
      </c>
      <c r="B53" s="88"/>
      <c r="C53" s="88"/>
      <c r="D53" s="88"/>
      <c r="G53" s="88" t="s">
        <v>5</v>
      </c>
      <c r="H53" s="88"/>
      <c r="I53" s="88"/>
      <c r="J53" s="88"/>
    </row>
    <row r="54" spans="1:22">
      <c r="A54" s="81" t="s">
        <v>49</v>
      </c>
      <c r="B54" t="s">
        <v>163</v>
      </c>
      <c r="C54" t="s">
        <v>164</v>
      </c>
      <c r="D54" t="s">
        <v>142</v>
      </c>
      <c r="G54" s="81" t="s">
        <v>49</v>
      </c>
      <c r="H54" t="s">
        <v>163</v>
      </c>
      <c r="I54" t="s">
        <v>164</v>
      </c>
      <c r="J54" t="s">
        <v>142</v>
      </c>
    </row>
    <row r="55" spans="1:22">
      <c r="A55" s="82" t="s">
        <v>143</v>
      </c>
      <c r="B55" s="83">
        <v>67.11</v>
      </c>
      <c r="C55" s="83">
        <v>67.319999999999993</v>
      </c>
      <c r="D55" s="4">
        <v>3.1291908806436262E-3</v>
      </c>
      <c r="G55" s="82" t="s">
        <v>143</v>
      </c>
      <c r="H55" s="83">
        <v>185.06</v>
      </c>
      <c r="I55" s="83">
        <v>181.93</v>
      </c>
      <c r="J55" s="4">
        <v>-1.6913433481033153E-2</v>
      </c>
    </row>
    <row r="56" spans="1:22">
      <c r="A56" s="82" t="s">
        <v>144</v>
      </c>
      <c r="B56" s="83">
        <v>66.72</v>
      </c>
      <c r="C56" s="83">
        <v>67.66</v>
      </c>
      <c r="D56" s="4">
        <v>1.4088729016786537E-2</v>
      </c>
      <c r="G56" s="82" t="s">
        <v>144</v>
      </c>
      <c r="H56" s="83">
        <v>182.48</v>
      </c>
      <c r="I56" s="83">
        <v>180.4</v>
      </c>
      <c r="J56" s="4">
        <v>-1.1398509425690401E-2</v>
      </c>
    </row>
    <row r="57" spans="1:22">
      <c r="A57" s="82" t="s">
        <v>145</v>
      </c>
      <c r="B57" s="83">
        <v>67.98</v>
      </c>
      <c r="C57" s="83">
        <v>67.27</v>
      </c>
      <c r="D57" s="4">
        <v>-1.0444248308326095E-2</v>
      </c>
      <c r="G57" s="82" t="s">
        <v>145</v>
      </c>
      <c r="H57" s="83">
        <v>178.01</v>
      </c>
      <c r="I57" s="83">
        <v>178.56</v>
      </c>
      <c r="J57" s="4">
        <v>3.0897140610078727E-3</v>
      </c>
    </row>
    <row r="58" spans="1:22">
      <c r="A58" s="82" t="s">
        <v>146</v>
      </c>
      <c r="B58" s="83">
        <v>67.42</v>
      </c>
      <c r="C58" s="83">
        <v>66.95</v>
      </c>
      <c r="D58" s="4">
        <v>-6.9712251557401197E-3</v>
      </c>
      <c r="G58" s="82" t="s">
        <v>146</v>
      </c>
      <c r="H58" s="83">
        <v>178</v>
      </c>
      <c r="I58" s="83">
        <v>172.7</v>
      </c>
      <c r="J58" s="4">
        <v>-2.9775280898876468E-2</v>
      </c>
    </row>
    <row r="59" spans="1:22">
      <c r="A59" s="82" t="s">
        <v>147</v>
      </c>
      <c r="B59" s="83">
        <v>66.31</v>
      </c>
      <c r="C59" s="83">
        <v>66.599999999999994</v>
      </c>
      <c r="D59" s="4">
        <v>4.3733976775749061E-3</v>
      </c>
      <c r="G59" s="82" t="s">
        <v>147</v>
      </c>
      <c r="H59" s="83">
        <v>174.83</v>
      </c>
      <c r="I59" s="83">
        <v>175.2</v>
      </c>
      <c r="J59" s="4">
        <v>2.1163415889720078E-3</v>
      </c>
    </row>
    <row r="60" spans="1:22">
      <c r="A60" s="82" t="s">
        <v>148</v>
      </c>
      <c r="B60" s="83">
        <v>67.22</v>
      </c>
      <c r="C60" s="83">
        <v>66.84</v>
      </c>
      <c r="D60" s="4">
        <v>-5.653079440642598E-3</v>
      </c>
      <c r="G60" s="82" t="s">
        <v>148</v>
      </c>
      <c r="H60" s="83">
        <v>177.1</v>
      </c>
      <c r="I60" s="83">
        <v>178.68</v>
      </c>
      <c r="J60" s="4">
        <v>8.9215132693394265E-3</v>
      </c>
    </row>
    <row r="61" spans="1:22">
      <c r="A61" s="82" t="s">
        <v>149</v>
      </c>
      <c r="B61" s="83">
        <v>66.84</v>
      </c>
      <c r="C61" s="83">
        <v>66.09</v>
      </c>
      <c r="D61" s="4">
        <v>-1.1220825852782765E-2</v>
      </c>
      <c r="G61" s="82" t="s">
        <v>149</v>
      </c>
      <c r="H61" s="83">
        <v>176.07</v>
      </c>
      <c r="I61" s="83">
        <v>171.24</v>
      </c>
      <c r="J61" s="4">
        <v>-2.7432271255750464E-2</v>
      </c>
    </row>
    <row r="62" spans="1:22">
      <c r="A62" s="82" t="s">
        <v>150</v>
      </c>
      <c r="B62" s="83">
        <v>65.91</v>
      </c>
      <c r="C62" s="83">
        <v>62.25</v>
      </c>
      <c r="D62" s="4">
        <v>-5.5530268548019977E-2</v>
      </c>
      <c r="G62" s="82" t="s">
        <v>150</v>
      </c>
      <c r="H62" s="83">
        <v>170</v>
      </c>
      <c r="I62" s="83">
        <v>167.52</v>
      </c>
      <c r="J62" s="4">
        <v>-1.4588235294117588E-2</v>
      </c>
    </row>
    <row r="63" spans="1:22">
      <c r="A63" s="82" t="s">
        <v>151</v>
      </c>
      <c r="B63" s="83">
        <v>62.35</v>
      </c>
      <c r="C63" s="83">
        <v>61.9</v>
      </c>
      <c r="D63" s="4">
        <v>-7.2173215717722984E-3</v>
      </c>
      <c r="G63" s="82" t="s">
        <v>151</v>
      </c>
      <c r="H63" s="83">
        <v>168.78</v>
      </c>
      <c r="I63" s="83">
        <v>165.17</v>
      </c>
      <c r="J63" s="4">
        <v>-2.1388790141012051E-2</v>
      </c>
    </row>
    <row r="64" spans="1:22">
      <c r="A64" s="82" t="s">
        <v>152</v>
      </c>
      <c r="B64" s="83">
        <v>62.77</v>
      </c>
      <c r="C64" s="83">
        <v>62.8</v>
      </c>
      <c r="D64" s="4">
        <v>4.7793531942001005E-4</v>
      </c>
      <c r="G64" s="82" t="s">
        <v>152</v>
      </c>
      <c r="H64" s="83">
        <v>166.97</v>
      </c>
      <c r="I64" s="83">
        <v>174.4</v>
      </c>
      <c r="J64" s="4">
        <v>4.4499011798526722E-2</v>
      </c>
    </row>
    <row r="65" spans="1:10">
      <c r="A65" s="82" t="s">
        <v>153</v>
      </c>
      <c r="B65" s="83">
        <v>62.8</v>
      </c>
      <c r="C65" s="83">
        <v>62.37</v>
      </c>
      <c r="D65" s="4">
        <v>-6.8471337579617793E-3</v>
      </c>
      <c r="G65" s="82" t="s">
        <v>153</v>
      </c>
      <c r="H65" s="83">
        <v>176</v>
      </c>
      <c r="I65" s="83">
        <v>175.75</v>
      </c>
      <c r="J65" s="4">
        <v>-1.4204545454545455E-3</v>
      </c>
    </row>
    <row r="66" spans="1:10">
      <c r="A66" s="82" t="s">
        <v>154</v>
      </c>
      <c r="B66" s="83">
        <v>61.6</v>
      </c>
      <c r="C66" s="83">
        <v>62.22</v>
      </c>
      <c r="D66" s="4">
        <v>1.0064935064935023E-2</v>
      </c>
      <c r="G66" s="82" t="s">
        <v>154</v>
      </c>
      <c r="H66" s="83">
        <v>172.18</v>
      </c>
      <c r="I66" s="83">
        <v>177.39</v>
      </c>
      <c r="J66" s="4">
        <v>3.0259031246369958E-2</v>
      </c>
    </row>
    <row r="67" spans="1:10">
      <c r="A67" s="82" t="s">
        <v>155</v>
      </c>
      <c r="B67" s="83">
        <v>62.22</v>
      </c>
      <c r="C67" s="83">
        <v>63.21</v>
      </c>
      <c r="D67" s="4">
        <v>1.591128254580524E-2</v>
      </c>
      <c r="G67" s="82" t="s">
        <v>155</v>
      </c>
      <c r="H67" s="83">
        <v>177.16</v>
      </c>
      <c r="I67" s="83">
        <v>177.64</v>
      </c>
      <c r="J67" s="4">
        <v>2.7094152178820828E-3</v>
      </c>
    </row>
    <row r="68" spans="1:10">
      <c r="A68" s="82" t="s">
        <v>156</v>
      </c>
      <c r="B68" s="83">
        <v>63.1</v>
      </c>
      <c r="C68" s="83">
        <v>63.11</v>
      </c>
      <c r="D68" s="4">
        <v>1.5847860538824104E-4</v>
      </c>
      <c r="G68" s="82" t="s">
        <v>156</v>
      </c>
      <c r="H68" s="83">
        <v>175.73</v>
      </c>
      <c r="I68" s="83">
        <v>178.1</v>
      </c>
      <c r="J68" s="4">
        <v>1.3486598759460563E-2</v>
      </c>
    </row>
    <row r="69" spans="1:10">
      <c r="A69" s="82" t="s">
        <v>157</v>
      </c>
      <c r="B69" s="83">
        <v>65.010000000000005</v>
      </c>
      <c r="C69" s="83">
        <v>65.8</v>
      </c>
      <c r="D69" s="4">
        <v>1.2151976618981571E-2</v>
      </c>
      <c r="G69" s="82" t="s">
        <v>157</v>
      </c>
      <c r="H69" s="83">
        <v>184.5</v>
      </c>
      <c r="I69" s="83">
        <v>182.08</v>
      </c>
      <c r="J69" s="4">
        <v>-1.3116531165311585E-2</v>
      </c>
    </row>
    <row r="70" spans="1:10">
      <c r="A70" s="82" t="s">
        <v>158</v>
      </c>
      <c r="B70" s="83">
        <v>65.39</v>
      </c>
      <c r="C70" s="83">
        <v>65.680000000000007</v>
      </c>
      <c r="D70" s="4">
        <v>4.4349288882093016E-3</v>
      </c>
      <c r="G70" s="82" t="s">
        <v>158</v>
      </c>
      <c r="H70" s="83">
        <v>181.84</v>
      </c>
      <c r="I70" s="83">
        <v>183.91</v>
      </c>
      <c r="J70" s="4">
        <v>1.1383633963924292E-2</v>
      </c>
    </row>
    <row r="71" spans="1:10">
      <c r="A71" s="82" t="s">
        <v>159</v>
      </c>
      <c r="B71" s="83">
        <v>65.900000000000006</v>
      </c>
      <c r="C71" s="83">
        <v>64.02</v>
      </c>
      <c r="D71" s="4">
        <v>-2.8528072837632919E-2</v>
      </c>
      <c r="G71" s="82" t="s">
        <v>159</v>
      </c>
      <c r="H71" s="83">
        <v>184.31</v>
      </c>
      <c r="I71" s="83">
        <v>188.63</v>
      </c>
      <c r="J71" s="4">
        <v>2.343877163474577E-2</v>
      </c>
    </row>
    <row r="72" spans="1:10">
      <c r="A72" s="82" t="s">
        <v>160</v>
      </c>
      <c r="B72" s="83">
        <v>63.99</v>
      </c>
      <c r="C72" s="83">
        <v>63.12</v>
      </c>
      <c r="D72" s="4">
        <v>-1.3595874355368097E-2</v>
      </c>
      <c r="G72" s="82" t="s">
        <v>160</v>
      </c>
      <c r="H72" s="83">
        <v>186.03</v>
      </c>
      <c r="I72" s="83">
        <v>189.31</v>
      </c>
      <c r="J72" s="4">
        <v>1.7631564801376128E-2</v>
      </c>
    </row>
    <row r="73" spans="1:10">
      <c r="A73" s="82" t="s">
        <v>161</v>
      </c>
      <c r="B73" s="83">
        <v>62.69</v>
      </c>
      <c r="C73" s="83">
        <v>62.95</v>
      </c>
      <c r="D73" s="4">
        <v>4.1473919285373289E-3</v>
      </c>
      <c r="G73" s="82" t="s">
        <v>161</v>
      </c>
      <c r="H73" s="83">
        <v>190.84</v>
      </c>
      <c r="I73" s="83">
        <v>196.51</v>
      </c>
      <c r="J73" s="4">
        <v>2.9710752462795992E-2</v>
      </c>
    </row>
    <row r="74" spans="1:10">
      <c r="A74" s="82" t="s">
        <v>162</v>
      </c>
      <c r="B74" s="83">
        <v>63.04</v>
      </c>
      <c r="C74" s="83">
        <v>61.54</v>
      </c>
      <c r="D74" s="4">
        <v>-2.3794416243654824E-2</v>
      </c>
      <c r="G74" s="82" t="s">
        <v>162</v>
      </c>
      <c r="H74" s="83">
        <v>196.54</v>
      </c>
      <c r="I74" s="83">
        <v>198.87</v>
      </c>
      <c r="J74" s="4">
        <v>1.18550931108172E-2</v>
      </c>
    </row>
  </sheetData>
  <mergeCells count="10">
    <mergeCell ref="A53:D53"/>
    <mergeCell ref="G53:J53"/>
    <mergeCell ref="A2:D2"/>
    <mergeCell ref="G2:J2"/>
    <mergeCell ref="M2:P2"/>
    <mergeCell ref="S2:V2"/>
    <mergeCell ref="A28:D28"/>
    <mergeCell ref="G28:J28"/>
    <mergeCell ref="M28:P28"/>
    <mergeCell ref="S28:V2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B14" sqref="B14"/>
    </sheetView>
  </sheetViews>
  <sheetFormatPr defaultColWidth="22.6640625" defaultRowHeight="13.9"/>
  <cols>
    <col min="1" max="1" width="11.9140625" style="39" customWidth="1"/>
    <col min="2" max="2" width="14.33203125" style="39" customWidth="1"/>
    <col min="3" max="16384" width="22.6640625" style="39"/>
  </cols>
  <sheetData>
    <row r="1" spans="1:6" ht="14.4" thickBot="1">
      <c r="A1" s="54" t="s">
        <v>134</v>
      </c>
      <c r="B1" s="51" t="s">
        <v>47</v>
      </c>
      <c r="C1" s="51" t="s">
        <v>48</v>
      </c>
      <c r="D1" s="51" t="s">
        <v>135</v>
      </c>
      <c r="E1" s="51" t="s">
        <v>136</v>
      </c>
      <c r="F1" s="51" t="s">
        <v>137</v>
      </c>
    </row>
    <row r="2" spans="1:6" ht="15.9" thickBot="1">
      <c r="A2" s="79">
        <v>1</v>
      </c>
      <c r="B2" s="80" t="s">
        <v>15</v>
      </c>
      <c r="C2" s="80" t="s">
        <v>138</v>
      </c>
      <c r="D2" s="72">
        <v>2.56</v>
      </c>
      <c r="E2" s="72">
        <v>3.07</v>
      </c>
      <c r="F2" s="71">
        <f t="shared" ref="F2:F11" si="0">IF(OR(D2=0,NOT(ISNUMBER(D2)),NOT(ISNUMBER(E2))),"",(E2 - D2) / D2)</f>
        <v>0.19921874999999992</v>
      </c>
    </row>
    <row r="3" spans="1:6" ht="15.9" thickBot="1">
      <c r="A3" s="79">
        <v>2</v>
      </c>
      <c r="B3" s="80" t="s">
        <v>5</v>
      </c>
      <c r="C3" s="80" t="s">
        <v>54</v>
      </c>
      <c r="D3" s="75">
        <v>185.06</v>
      </c>
      <c r="E3" s="75">
        <v>198.87</v>
      </c>
      <c r="F3" s="71">
        <f t="shared" si="0"/>
        <v>7.4624446125580904E-2</v>
      </c>
    </row>
    <row r="4" spans="1:6" ht="15.9" thickBot="1">
      <c r="A4" s="79">
        <v>3</v>
      </c>
      <c r="B4" s="80" t="s">
        <v>23</v>
      </c>
      <c r="C4" s="80" t="s">
        <v>123</v>
      </c>
      <c r="D4" s="72">
        <v>22.27</v>
      </c>
      <c r="E4" s="72">
        <v>23.38</v>
      </c>
      <c r="F4" s="71">
        <f t="shared" si="0"/>
        <v>4.9842837898518164E-2</v>
      </c>
    </row>
    <row r="5" spans="1:6" ht="15.9" thickBot="1">
      <c r="A5" s="79">
        <v>4</v>
      </c>
      <c r="B5" s="80" t="s">
        <v>19</v>
      </c>
      <c r="C5" s="80" t="s">
        <v>115</v>
      </c>
      <c r="D5" s="72">
        <v>6.1</v>
      </c>
      <c r="E5" s="72">
        <v>6.15</v>
      </c>
      <c r="F5" s="71">
        <f t="shared" si="0"/>
        <v>8.1967213114755265E-3</v>
      </c>
    </row>
    <row r="6" spans="1:6" ht="15.9" thickBot="1">
      <c r="A6" s="79">
        <v>5</v>
      </c>
      <c r="B6" s="80" t="s">
        <v>21</v>
      </c>
      <c r="C6" s="80" t="s">
        <v>139</v>
      </c>
      <c r="D6" s="72">
        <v>2.57</v>
      </c>
      <c r="E6" s="72">
        <v>2.59</v>
      </c>
      <c r="F6" s="71">
        <f t="shared" si="0"/>
        <v>7.7821011673151821E-3</v>
      </c>
    </row>
    <row r="7" spans="1:6" ht="15.9" thickBot="1">
      <c r="A7" s="79">
        <v>6</v>
      </c>
      <c r="B7" s="80" t="s">
        <v>11</v>
      </c>
      <c r="C7" s="80" t="s">
        <v>87</v>
      </c>
      <c r="D7" s="72">
        <v>10.94</v>
      </c>
      <c r="E7" s="72">
        <v>10.75</v>
      </c>
      <c r="F7" s="71">
        <f t="shared" si="0"/>
        <v>-1.7367458866544744E-2</v>
      </c>
    </row>
    <row r="8" spans="1:6" ht="15.9" thickBot="1">
      <c r="A8" s="79">
        <v>7</v>
      </c>
      <c r="B8" s="80" t="s">
        <v>17</v>
      </c>
      <c r="C8" s="80" t="s">
        <v>110</v>
      </c>
      <c r="D8" s="72">
        <v>2.11</v>
      </c>
      <c r="E8" s="72">
        <v>2.06</v>
      </c>
      <c r="F8" s="71">
        <f t="shared" si="0"/>
        <v>-2.3696682464454895E-2</v>
      </c>
    </row>
    <row r="9" spans="1:6" ht="15.9" thickBot="1">
      <c r="A9" s="79">
        <v>8</v>
      </c>
      <c r="B9" s="80" t="s">
        <v>13</v>
      </c>
      <c r="C9" s="80" t="s">
        <v>95</v>
      </c>
      <c r="D9" s="72">
        <v>12.93</v>
      </c>
      <c r="E9" s="72">
        <v>12.1</v>
      </c>
      <c r="F9" s="71">
        <f t="shared" si="0"/>
        <v>-6.4191802010827539E-2</v>
      </c>
    </row>
    <row r="10" spans="1:6" ht="15.9" thickBot="1">
      <c r="A10" s="79">
        <v>9</v>
      </c>
      <c r="B10" s="80" t="s">
        <v>7</v>
      </c>
      <c r="C10" s="80" t="s">
        <v>68</v>
      </c>
      <c r="D10" s="75">
        <v>67.11</v>
      </c>
      <c r="E10" s="75">
        <v>61.54</v>
      </c>
      <c r="F10" s="71">
        <f t="shared" si="0"/>
        <v>-8.2998062881835796E-2</v>
      </c>
    </row>
    <row r="11" spans="1:6" ht="15.9" thickBot="1">
      <c r="A11" s="79">
        <v>10</v>
      </c>
      <c r="B11" s="80" t="s">
        <v>9</v>
      </c>
      <c r="C11" s="80" t="s">
        <v>75</v>
      </c>
      <c r="D11" s="72">
        <v>74.430000000000007</v>
      </c>
      <c r="E11" s="72">
        <v>65.430000000000007</v>
      </c>
      <c r="F11" s="71">
        <f t="shared" si="0"/>
        <v>-0.12091898428053204</v>
      </c>
    </row>
  </sheetData>
  <conditionalFormatting sqref="F2:F11">
    <cfRule type="cellIs" dxfId="2" priority="1" operator="lessThan">
      <formula>0</formula>
    </cfRule>
    <cfRule type="cellIs" dxfId="1" priority="2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7" workbookViewId="0">
      <selection activeCell="AH26" sqref="AH26"/>
    </sheetView>
  </sheetViews>
  <sheetFormatPr defaultRowHeight="15.4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4EF8D4-D25B-4903-B75E-9EEE15F08E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Google Data</vt:lpstr>
      <vt:lpstr>Stocks Dashboard</vt:lpstr>
      <vt:lpstr>Helper</vt:lpstr>
      <vt:lpstr>NVDA</vt:lpstr>
      <vt:lpstr>DXCM</vt:lpstr>
      <vt:lpstr>MNDY</vt:lpstr>
      <vt:lpstr>STEM</vt:lpstr>
      <vt:lpstr>RUN</vt:lpstr>
      <vt:lpstr>BLDP</vt:lpstr>
      <vt:lpstr>EVGO</vt:lpstr>
      <vt:lpstr>COUR</vt:lpstr>
      <vt:lpstr>NNOX</vt:lpstr>
      <vt:lpstr>FSLY</vt:lpstr>
      <vt:lpstr>Pivot Data</vt:lpstr>
      <vt:lpstr>Ranking Performance</vt:lpstr>
      <vt:lpstr>Performance 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</dc:creator>
  <cp:lastModifiedBy>Potts, John</cp:lastModifiedBy>
  <dcterms:created xsi:type="dcterms:W3CDTF">2026-03-21T20:35:31Z</dcterms:created>
  <dcterms:modified xsi:type="dcterms:W3CDTF">2026-10-20T16:53:58Z</dcterms:modified>
</cp:coreProperties>
</file>